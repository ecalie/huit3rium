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urélie\Documents\AURELIE\Huit3rium\huit3rium\src\"/>
    </mc:Choice>
  </mc:AlternateContent>
  <bookViews>
    <workbookView xWindow="0" yWindow="0" windowWidth="20460" windowHeight="2760" activeTab="1"/>
  </bookViews>
  <sheets>
    <sheet name="Consignes" sheetId="3" r:id="rId1"/>
    <sheet name="Inscriptions" sheetId="1" r:id="rId2"/>
    <sheet name="Clubs" sheetId="2" state="hidden" r:id="rId3"/>
  </sheets>
  <calcPr calcId="152511"/>
</workbook>
</file>

<file path=xl/calcChain.xml><?xml version="1.0" encoding="utf-8"?>
<calcChain xmlns="http://schemas.openxmlformats.org/spreadsheetml/2006/main">
  <c r="K22" i="1" l="1"/>
  <c r="K17" i="1" l="1"/>
  <c r="I13" i="1" l="1"/>
  <c r="K13" i="1"/>
  <c r="L13" i="1" s="1"/>
  <c r="I6" i="1"/>
  <c r="I7" i="1"/>
  <c r="I8" i="1"/>
  <c r="I9" i="1"/>
  <c r="I10" i="1"/>
  <c r="I11" i="1"/>
  <c r="I12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5" i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4" i="1"/>
  <c r="L14" i="1" s="1"/>
  <c r="K15" i="1"/>
  <c r="L15" i="1" s="1"/>
  <c r="K16" i="1"/>
  <c r="L16" i="1" s="1"/>
  <c r="L17" i="1"/>
  <c r="K18" i="1"/>
  <c r="L18" i="1" s="1"/>
  <c r="K19" i="1"/>
  <c r="L19" i="1" s="1"/>
  <c r="K20" i="1"/>
  <c r="L20" i="1" s="1"/>
  <c r="K21" i="1"/>
  <c r="L21" i="1" s="1"/>
  <c r="L22" i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</calcChain>
</file>

<file path=xl/sharedStrings.xml><?xml version="1.0" encoding="utf-8"?>
<sst xmlns="http://schemas.openxmlformats.org/spreadsheetml/2006/main" count="437" uniqueCount="187">
  <si>
    <t>Lettre</t>
  </si>
  <si>
    <t>N°</t>
  </si>
  <si>
    <t>Nom</t>
  </si>
  <si>
    <t>Prénom</t>
  </si>
  <si>
    <t>N°Club</t>
  </si>
  <si>
    <t>Club</t>
  </si>
  <si>
    <t>Nom Club</t>
  </si>
  <si>
    <t>N° Licence</t>
  </si>
  <si>
    <t>Date Naissance</t>
  </si>
  <si>
    <t>Catégorie</t>
  </si>
  <si>
    <t>Niveau</t>
  </si>
  <si>
    <t>N° Club</t>
  </si>
  <si>
    <t>Codep</t>
  </si>
  <si>
    <t>CYCLOS RANDONNEURS TOULONNAIS</t>
  </si>
  <si>
    <t>ASS SPORTIVES TRAMINOTS ALPES MARITIMES</t>
  </si>
  <si>
    <t>VELO SPORT CYCLO HYEROIS</t>
  </si>
  <si>
    <t>LA PEDALE DU LAS</t>
  </si>
  <si>
    <t>ASPTT TOULON CYCLOTOURISME</t>
  </si>
  <si>
    <t>IBM FRANCE NICE LA GAUDE</t>
  </si>
  <si>
    <t>CYCLO CLUB HYEROIS</t>
  </si>
  <si>
    <t>C S MUNICIPAL SEYNOIS</t>
  </si>
  <si>
    <t>UNION CYCLISTE PEDESTRE LONDAISE</t>
  </si>
  <si>
    <t>A C BAIES DE BANDOL</t>
  </si>
  <si>
    <t>CLUB CYCLO RAND GARDEENS</t>
  </si>
  <si>
    <t>UNION SPORTIVE TRAMWAYS TOULONNAIS</t>
  </si>
  <si>
    <t>AM SPORT LOISIR FREJUS</t>
  </si>
  <si>
    <t>LA VALETTE CYCLOTOURISME</t>
  </si>
  <si>
    <t>US CYCLO LA CRAU</t>
  </si>
  <si>
    <t>CLUB CYCLO LA CUERSOISE</t>
  </si>
  <si>
    <t>AS SPORTIVE GAZELEC TOULON</t>
  </si>
  <si>
    <t>CYCLO CLUB ARCOIS</t>
  </si>
  <si>
    <t>CLUB CYCLOTOURISME GINASSERVOIS</t>
  </si>
  <si>
    <t>ASPTT HYERES</t>
  </si>
  <si>
    <t>OLYMP CYCLIS DU HAUT VAR</t>
  </si>
  <si>
    <t>CYCLO CLUB RIANSAIS</t>
  </si>
  <si>
    <t>VELO CLUB BARJOLAIS</t>
  </si>
  <si>
    <t>LORGUES CYCLOS</t>
  </si>
  <si>
    <t>VELO CLUB DES SOLLIES</t>
  </si>
  <si>
    <t>CYCLO CLUB LUCOIS</t>
  </si>
  <si>
    <t>VELO CLUB SIX-FOURS</t>
  </si>
  <si>
    <t>OLYMPIQUE CYCLO CLUB D'ANTIBES</t>
  </si>
  <si>
    <t>VELO CLUB VIDAUBANNAIS</t>
  </si>
  <si>
    <t>VELO CLUB FARLEDOIS</t>
  </si>
  <si>
    <t>A C GRASSE</t>
  </si>
  <si>
    <t>LA ROUE D'OR CARROS RANDONNEURS</t>
  </si>
  <si>
    <t>SCHNEIDER HORIZON SPORTING CLUB</t>
  </si>
  <si>
    <t>A C CANNES LA BOCCA</t>
  </si>
  <si>
    <t>C C CARQUEIRANNAIS</t>
  </si>
  <si>
    <t>ESTEREL CLUB CYCLISTE ADRETS</t>
  </si>
  <si>
    <t>ASSOCIATION SPORTIVE VALETTOISE</t>
  </si>
  <si>
    <t>A S ROQUEBRUNOISE CYCLOS</t>
  </si>
  <si>
    <t>CYCLOS RAND CAGNOIS</t>
  </si>
  <si>
    <t>LES BRAQUETS TROPEZIENS</t>
  </si>
  <si>
    <t>GS DES EMPLOYES MUNICIPAUX DE NICE</t>
  </si>
  <si>
    <t>TRIPLE PLATEAU GARDEEN</t>
  </si>
  <si>
    <t>ASCM TOULON CYCLOTOURISME</t>
  </si>
  <si>
    <t>ASSOCIATION SPORTIVE ST JEANNOISE SECTION CYCLO</t>
  </si>
  <si>
    <t>VILLEFRANCHE TOUT TERRAIN</t>
  </si>
  <si>
    <t>CYCLO SPORT PIERREFEUCAIN</t>
  </si>
  <si>
    <t>UNION CYCLOTOURISTE BESSOISE</t>
  </si>
  <si>
    <t>CYCLO RANDO DU VST</t>
  </si>
  <si>
    <t>SANARY CYCLO</t>
  </si>
  <si>
    <t>LA VERDIERE VELO CLUB EVASION</t>
  </si>
  <si>
    <t>AS CNMSS</t>
  </si>
  <si>
    <t>CLUB CYCLOTOURISTE DE NICE</t>
  </si>
  <si>
    <t>VELO CLUB TOURVAIN</t>
  </si>
  <si>
    <t>IFC NICE CYCLISME</t>
  </si>
  <si>
    <t>AMICALE CYCLOTOURISME DU CANTON ROQUEBRUSSANNE</t>
  </si>
  <si>
    <t>VELO CLUB CANNETOIS</t>
  </si>
  <si>
    <t>ASCL CHAMBRES DE METIERS</t>
  </si>
  <si>
    <t>ASSO VELOCIPEDIQUE INTER COMMUNES</t>
  </si>
  <si>
    <t>CYCLO CLUB CABASSOIS</t>
  </si>
  <si>
    <t>L'OMNIUM CYCLISTE RAPHAELOIS</t>
  </si>
  <si>
    <t>VELO RANDONNEUR CANTONAL</t>
  </si>
  <si>
    <t>ARGENS CYCLO CARCES</t>
  </si>
  <si>
    <t>FLASSANS SUR ISSOLE CYCLO CLUB</t>
  </si>
  <si>
    <t>VIREES LOISIRS GONFARONNAISES</t>
  </si>
  <si>
    <t>LES CYCLOTOURISTES REVESTOIS</t>
  </si>
  <si>
    <t>TEAM AZUR EVASION</t>
  </si>
  <si>
    <t>PROVENCE RANDONNEURS</t>
  </si>
  <si>
    <t>ASLG</t>
  </si>
  <si>
    <t>VELO CLUB CŒUR DE VAR</t>
  </si>
  <si>
    <t>CYCLOS CLUB CAGNOIS</t>
  </si>
  <si>
    <t>CRO ROIS TEAM</t>
  </si>
  <si>
    <t>UNION CYCLISTE PIGNANTAISE</t>
  </si>
  <si>
    <t>ASSOCIATION SPORTS LOISIRS MUNICIPAUX CANNES</t>
  </si>
  <si>
    <t>VELO VERT FLAYOSCAIS</t>
  </si>
  <si>
    <t>MI ALPES MARITIMES</t>
  </si>
  <si>
    <t>MI VAR</t>
  </si>
  <si>
    <t>CTN FFCT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</si>
  <si>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</si>
  <si>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</si>
  <si>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</si>
  <si>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</si>
  <si>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</si>
  <si>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</si>
  <si>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</si>
  <si>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</si>
  <si>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</si>
  <si>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</si>
  <si>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</si>
  <si>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Age</t>
  </si>
  <si>
    <t>Sexe</t>
  </si>
  <si>
    <t>TABLEAU INSCRIPTIONS ECOLES</t>
  </si>
  <si>
    <t>Pastille</t>
  </si>
  <si>
    <t>CONSIGNES INSCRIPTIONS</t>
  </si>
  <si>
    <t>1)</t>
  </si>
  <si>
    <t>Ne remplir que les plages blanches. Le reste se remplit automatiquement.</t>
  </si>
  <si>
    <t>2)</t>
  </si>
  <si>
    <t>3)</t>
  </si>
  <si>
    <t>4)</t>
  </si>
  <si>
    <t>UFOLEP VELO CLUB FARLEDOIS</t>
  </si>
  <si>
    <t>5)</t>
  </si>
  <si>
    <t>6)</t>
  </si>
  <si>
    <t>Si vous souhaitez mettre un commentaire sur un participant, faites le au niveau du nom par un clic droit sur la case</t>
  </si>
  <si>
    <t>et choisissez insérer un commentaire.</t>
  </si>
  <si>
    <t>Prendre contact si vous avez des problèmes d'utilisation ou des modifications à apporter</t>
  </si>
  <si>
    <t>7)</t>
  </si>
  <si>
    <t>La date de naissance s'écrit au format jj/mm/aa.</t>
  </si>
  <si>
    <t>8)</t>
  </si>
  <si>
    <t>Nom et prénom, vous pouvez écrire en minuscule ou majuscule; à la réouverture de la page tout est en majuscule.</t>
  </si>
  <si>
    <t>Pour les non licencés, mettre "nl" ou  "NL" dans le numéro de licence.</t>
  </si>
  <si>
    <t>Mettre le numéro de club; pour le club Ufolep, le n° club est 99999.</t>
  </si>
  <si>
    <t>Mettre le niveau de l'enfant par menu déroulant. La couleur de pastille s'affiche automatiquement.</t>
  </si>
  <si>
    <t>Mettre le sexe de l'enfant par menu déroulant.</t>
  </si>
  <si>
    <t>N° Equipe</t>
  </si>
  <si>
    <t>/</t>
  </si>
  <si>
    <t>Mettre un numéro d'équipe si constitution d'une équipe</t>
  </si>
  <si>
    <t>9)</t>
  </si>
  <si>
    <t>10)</t>
  </si>
  <si>
    <t>11)</t>
  </si>
  <si>
    <t>Colorier la case nom en rouge si l'enfant est absent à la manifestation.</t>
  </si>
  <si>
    <t>Remplir toutes les cases avec les enfants inscrits dans votre école.</t>
  </si>
  <si>
    <t>Si un avertissement de sécurité vous demande d'activer les macros, allez dans options et sélectionner activer ce contenu.</t>
  </si>
  <si>
    <t>12)</t>
  </si>
  <si>
    <t>VELO CLUB NANS LES PINS LA STE BAUME</t>
  </si>
  <si>
    <t>L</t>
  </si>
  <si>
    <t>PISTE / RENARDS</t>
  </si>
  <si>
    <t>POUJOL</t>
  </si>
  <si>
    <t>TOUS A VELO</t>
  </si>
  <si>
    <t>ASSOCIATION SPORTIVE MAXIMOISE CYCLISTE</t>
  </si>
  <si>
    <t>CHEMIN / MARCASSINS</t>
  </si>
  <si>
    <t>ARMOUGOM</t>
  </si>
  <si>
    <t>SUVAN</t>
  </si>
  <si>
    <t>BLANCARD</t>
  </si>
  <si>
    <t>ERWAN</t>
  </si>
  <si>
    <t>BRIOT</t>
  </si>
  <si>
    <t>ALBAN</t>
  </si>
  <si>
    <t>JORIS</t>
  </si>
  <si>
    <t>BILBAULT</t>
  </si>
  <si>
    <t>RODRIGUE</t>
  </si>
  <si>
    <t>DEL ROSSO</t>
  </si>
  <si>
    <t>CLEMENTINE</t>
  </si>
  <si>
    <t>GARSAUD</t>
  </si>
  <si>
    <t>ALEXANDRE</t>
  </si>
  <si>
    <t>GIBELY</t>
  </si>
  <si>
    <t>ADRIEN</t>
  </si>
  <si>
    <t>EVAN</t>
  </si>
  <si>
    <t>MASSON</t>
  </si>
  <si>
    <t>MATTHIAS</t>
  </si>
  <si>
    <t>ALLAN</t>
  </si>
  <si>
    <t>PILLET</t>
  </si>
  <si>
    <t>YOAN</t>
  </si>
  <si>
    <t>TONI</t>
  </si>
  <si>
    <t>SPARACIA</t>
  </si>
  <si>
    <t>NICOLAS</t>
  </si>
  <si>
    <t>GABRIEL</t>
  </si>
  <si>
    <t>RAPHAËL</t>
  </si>
  <si>
    <t>THIBAULT</t>
  </si>
  <si>
    <t>LECLERCQ</t>
  </si>
  <si>
    <t>TOM</t>
  </si>
  <si>
    <t xml:space="preserve">MILON </t>
  </si>
  <si>
    <t>LOLA</t>
  </si>
  <si>
    <t>MILON</t>
  </si>
  <si>
    <t xml:space="preserve">PARISIEN </t>
  </si>
  <si>
    <t>ANTHONY</t>
  </si>
  <si>
    <t>TROTOBAS</t>
  </si>
  <si>
    <t>MAURA</t>
  </si>
  <si>
    <t>ANTOINE</t>
  </si>
  <si>
    <t>COIGNARD</t>
  </si>
  <si>
    <t>CALIX</t>
  </si>
  <si>
    <t xml:space="preserve">MEHNI </t>
  </si>
  <si>
    <t>INES</t>
  </si>
  <si>
    <t>KOPCSIK</t>
  </si>
  <si>
    <t>ELISE</t>
  </si>
  <si>
    <t>THEROND</t>
  </si>
  <si>
    <t>ENZO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</si>
</sst>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00"/>
    <numFmt numFmtId="165" formatCode="00"/>
    <numFmt numFmtId="166" formatCode="dd/mm/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rgb="FFFF0000"/>
      <name val="Times New Roman"/>
      <family val="1"/>
    </font>
    <font>
      <sz val="10"/>
      <color rgb="FF333333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164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4" fillId="2" borderId="1" xfId="0" quotePrefix="1" applyFont="1" applyFill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J19"/>
  <sheetViews>
    <sheetView workbookViewId="0">
      <selection activeCell="D10" sqref="D10"/>
    </sheetView>
  </sheetViews>
  <sheetFormatPr baseColWidth="10" defaultColWidth="0" defaultRowHeight="15" zeroHeight="1" x14ac:dyDescent="0.25"/>
  <cols>
    <col min="1" max="10" width="11.42578125" style="2" customWidth="1"/>
    <col min="11" max="16384" width="11.42578125" style="2" hidden="1"/>
  </cols>
  <sheetData>
    <row r="1" spans="1:10" s="24" customFormat="1" ht="23.25" x14ac:dyDescent="0.25">
      <c r="A1" s="30" t="s">
        <v>105</v>
      </c>
      <c r="B1" s="30"/>
      <c r="C1" s="30"/>
      <c r="D1" s="30"/>
      <c r="E1" s="30"/>
      <c r="F1" s="30"/>
      <c r="G1" s="30"/>
      <c r="H1" s="30"/>
      <c r="I1" s="30"/>
      <c r="J1" s="30"/>
    </row>
    <row r="2" spans="1:10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</row>
    <row r="3" spans="1:10" x14ac:dyDescent="0.25">
      <c r="A3" s="26" t="s">
        <v>106</v>
      </c>
      <c r="B3" s="25" t="s">
        <v>133</v>
      </c>
      <c r="C3" s="25"/>
      <c r="D3" s="25"/>
      <c r="E3" s="25"/>
      <c r="F3" s="25"/>
      <c r="G3" s="25"/>
      <c r="H3" s="25"/>
      <c r="I3" s="25"/>
      <c r="J3" s="25"/>
    </row>
    <row r="4" spans="1:10" x14ac:dyDescent="0.25">
      <c r="A4" s="26" t="s">
        <v>108</v>
      </c>
      <c r="B4" s="25" t="s">
        <v>107</v>
      </c>
      <c r="C4" s="25"/>
      <c r="D4" s="25"/>
      <c r="E4" s="25"/>
      <c r="F4" s="25"/>
      <c r="G4" s="25"/>
      <c r="H4" s="25"/>
      <c r="I4" s="25"/>
      <c r="J4" s="25"/>
    </row>
    <row r="5" spans="1:10" x14ac:dyDescent="0.25">
      <c r="A5" s="26" t="s">
        <v>109</v>
      </c>
      <c r="B5" s="25" t="s">
        <v>132</v>
      </c>
      <c r="C5" s="25"/>
      <c r="D5" s="25"/>
      <c r="E5" s="25"/>
      <c r="F5" s="25"/>
      <c r="G5" s="25"/>
      <c r="H5" s="25"/>
      <c r="I5" s="25"/>
      <c r="J5" s="25"/>
    </row>
    <row r="6" spans="1:10" x14ac:dyDescent="0.25">
      <c r="A6" s="26" t="s">
        <v>110</v>
      </c>
      <c r="B6" s="25" t="s">
        <v>127</v>
      </c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6" t="s">
        <v>112</v>
      </c>
      <c r="B7" s="25" t="s">
        <v>120</v>
      </c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6" t="s">
        <v>113</v>
      </c>
      <c r="B8" s="25" t="s">
        <v>121</v>
      </c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6" t="s">
        <v>117</v>
      </c>
      <c r="B9" s="25" t="s">
        <v>122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6" t="s">
        <v>119</v>
      </c>
      <c r="B10" s="25" t="s">
        <v>118</v>
      </c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6" t="s">
        <v>128</v>
      </c>
      <c r="B11" s="25" t="s">
        <v>114</v>
      </c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 t="s">
        <v>115</v>
      </c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6" t="s">
        <v>129</v>
      </c>
      <c r="B13" s="25" t="s">
        <v>123</v>
      </c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6" t="s">
        <v>130</v>
      </c>
      <c r="B14" s="25" t="s">
        <v>124</v>
      </c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6" t="s">
        <v>134</v>
      </c>
      <c r="B15" s="25" t="s">
        <v>131</v>
      </c>
      <c r="C15" s="25"/>
      <c r="D15" s="25"/>
      <c r="E15" s="25"/>
      <c r="F15" s="25"/>
      <c r="G15" s="25"/>
      <c r="H15" s="25"/>
      <c r="I15" s="25"/>
      <c r="J15" s="25"/>
    </row>
    <row r="16" spans="1:10" x14ac:dyDescent="0.25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 x14ac:dyDescent="0.25">
      <c r="A17" s="31" t="s">
        <v>116</v>
      </c>
      <c r="B17" s="31"/>
      <c r="C17" s="31"/>
      <c r="D17" s="31"/>
      <c r="E17" s="31"/>
      <c r="F17" s="31"/>
      <c r="G17" s="31"/>
      <c r="H17" s="31"/>
      <c r="I17" s="31"/>
      <c r="J17" s="31"/>
    </row>
    <row r="18" spans="1:10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</row>
    <row r="19" spans="1:10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</row>
  </sheetData>
  <sheetProtection sheet="1" objects="1" scenarios="1" selectLockedCells="1" selectUnlockedCells="1"/>
  <mergeCells count="2">
    <mergeCell ref="A1:J1"/>
    <mergeCell ref="A17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207"/>
  <sheetViews>
    <sheetView tabSelected="1" topLeftCell="G10" workbookViewId="0">
      <selection activeCell="N30" sqref="N30"/>
    </sheetView>
  </sheetViews>
  <sheetFormatPr baseColWidth="10" defaultColWidth="0" defaultRowHeight="12.75" zeroHeight="1" x14ac:dyDescent="0.25"/>
  <cols>
    <col min="1" max="1" width="5.85546875" style="12" bestFit="1" customWidth="1"/>
    <col min="2" max="2" width="3.5703125" style="12" bestFit="1" customWidth="1"/>
    <col min="3" max="3" width="1.5703125" style="12" bestFit="1" customWidth="1"/>
    <col min="4" max="4" width="8.5703125" style="12" bestFit="1" customWidth="1"/>
    <col min="5" max="5" width="22.5703125" style="13" customWidth="1"/>
    <col min="6" max="6" width="20.42578125" style="13" customWidth="1"/>
    <col min="7" max="7" width="9.5703125" style="12" bestFit="1" customWidth="1"/>
    <col min="8" max="8" width="6.7109375" style="12" bestFit="1" customWidth="1"/>
    <col min="9" max="9" width="37.28515625" style="13" customWidth="1"/>
    <col min="10" max="10" width="13" style="12" bestFit="1" customWidth="1"/>
    <col min="11" max="11" width="4.140625" style="12" bestFit="1" customWidth="1"/>
    <col min="12" max="12" width="8.7109375" style="12" bestFit="1" customWidth="1"/>
    <col min="13" max="13" width="21.42578125" style="12" bestFit="1" customWidth="1"/>
    <col min="14" max="14" width="5.140625" style="12" bestFit="1" customWidth="1"/>
    <col min="15" max="15" width="11.42578125" style="8" customWidth="1"/>
    <col min="16" max="16" width="0" style="8" hidden="1" customWidth="1"/>
    <col min="17" max="16384" width="11.42578125" style="8" hidden="1"/>
  </cols>
  <sheetData>
    <row r="1" spans="1:15" ht="22.5" x14ac:dyDescent="0.25">
      <c r="A1" s="32" t="s">
        <v>103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7"/>
    </row>
    <row r="2" spans="1:15" x14ac:dyDescent="0.25">
      <c r="A2" s="9"/>
      <c r="B2" s="9"/>
      <c r="C2" s="9"/>
      <c r="D2" s="9"/>
      <c r="E2" s="10"/>
      <c r="F2" s="10"/>
      <c r="G2" s="9"/>
      <c r="H2" s="9"/>
      <c r="I2" s="10"/>
      <c r="J2" s="9"/>
      <c r="K2" s="9"/>
      <c r="L2" s="9"/>
      <c r="M2" s="9"/>
      <c r="N2" s="9"/>
      <c r="O2" s="7"/>
    </row>
    <row r="3" spans="1:15" x14ac:dyDescent="0.25">
      <c r="A3" s="9"/>
      <c r="B3" s="9"/>
      <c r="C3" s="9"/>
      <c r="D3" s="9"/>
      <c r="E3" s="10"/>
      <c r="F3" s="10"/>
      <c r="G3" s="9"/>
      <c r="H3" s="9"/>
      <c r="I3" s="10"/>
      <c r="J3" s="9"/>
      <c r="K3" s="9"/>
      <c r="L3" s="9"/>
      <c r="M3" s="9"/>
      <c r="N3" s="9"/>
      <c r="O3" s="7"/>
    </row>
    <row r="4" spans="1:15" x14ac:dyDescent="0.25">
      <c r="A4" s="11" t="s">
        <v>0</v>
      </c>
      <c r="B4" s="11" t="s">
        <v>1</v>
      </c>
      <c r="C4" s="28" t="s">
        <v>126</v>
      </c>
      <c r="D4" s="11" t="s">
        <v>125</v>
      </c>
      <c r="E4" s="11" t="s">
        <v>2</v>
      </c>
      <c r="F4" s="11" t="s">
        <v>3</v>
      </c>
      <c r="G4" s="11" t="s">
        <v>7</v>
      </c>
      <c r="H4" s="11" t="s">
        <v>4</v>
      </c>
      <c r="I4" s="11" t="s">
        <v>6</v>
      </c>
      <c r="J4" s="11" t="s">
        <v>8</v>
      </c>
      <c r="K4" s="11" t="s">
        <v>101</v>
      </c>
      <c r="L4" s="11" t="s">
        <v>9</v>
      </c>
      <c r="M4" s="11" t="s">
        <v>10</v>
      </c>
      <c r="N4" s="11" t="s">
        <v>102</v>
      </c>
      <c r="O4" s="11" t="s">
        <v>104</v>
      </c>
    </row>
    <row r="5" spans="1:15" x14ac:dyDescent="0.25">
      <c r="A5" s="16" t="str">
        <f>IF(H5="","",IF(LOOKUP(H5,Clubs!B$2:C$201)="","",LOOKUP(H5,Clubs!B$2:C$201)))</f>
        <v>L</v>
      </c>
      <c r="B5" s="17">
        <v>1</v>
      </c>
      <c r="C5" s="11" t="s">
        <v>126</v>
      </c>
      <c r="D5" s="27">
        <v>1</v>
      </c>
      <c r="E5" s="19" t="s">
        <v>142</v>
      </c>
      <c r="F5" s="19" t="s">
        <v>143</v>
      </c>
      <c r="G5" s="20">
        <v>818872</v>
      </c>
      <c r="H5" s="21">
        <v>8035</v>
      </c>
      <c r="I5" s="18" t="str">
        <f>IF(G5="NL","",IF(AND(G5&lt;&gt;"",H5&lt;&gt;""),LOOKUP(H5,Clubs!B$2:D$201),IF(AND(G5="",H5=""),"",IF(AND(G5&lt;&gt;"",H5=""),"ERREUR mettre un n° de club","ERREUR mettre un n° de Licence"))))</f>
        <v>VELO CLUB NANS LES PINS LA STE BAUME</v>
      </c>
      <c r="J5" s="29">
        <v>39022</v>
      </c>
      <c r="K5" s="16">
        <f ca="1">IF(J5="","",YEAR(TODAY())-YEAR(J5))</f>
        <v>12</v>
      </c>
      <c r="L5" s="17" t="str">
        <f ca="1">IF(K5="","",IF(K5&lt;13,"PUPILLE",IF(AND(K5&gt;12,K5&lt;15),"MINIME",IF(AND(K5&gt;14,K5&lt;17),"CADET",IF(AND(K5&gt;15,K5&lt;19),"JUNIOR","SENIOR")))))</f>
        <v>PUPILLE</v>
      </c>
      <c r="M5" s="20" t="s">
        <v>141</v>
      </c>
      <c r="N5" s="20" t="s">
        <v>96</v>
      </c>
      <c r="O5" s="23"/>
    </row>
    <row r="6" spans="1:15" x14ac:dyDescent="0.25">
      <c r="A6" s="16" t="str">
        <f>IF(H6="","",IF(LOOKUP(H6,Clubs!B$2:C$201)="","",LOOKUP(H6,Clubs!B$2:C$201)))</f>
        <v>L</v>
      </c>
      <c r="B6" s="17">
        <v>2</v>
      </c>
      <c r="C6" s="11" t="s">
        <v>126</v>
      </c>
      <c r="D6" s="27">
        <v>2</v>
      </c>
      <c r="E6" s="19" t="s">
        <v>149</v>
      </c>
      <c r="F6" s="19" t="s">
        <v>150</v>
      </c>
      <c r="G6" s="20">
        <v>803096</v>
      </c>
      <c r="H6" s="21">
        <v>8035</v>
      </c>
      <c r="I6" s="18" t="str">
        <f>IF(G6="NL","",IF(AND(G6&lt;&gt;"",H6&lt;&gt;""),LOOKUP(H6,Clubs!B$2:D$201),IF(AND(G6="",H6=""),"",IF(AND(G6&lt;&gt;"",H6=""),"ERREUR mettre un n° de club","ERREUR mettre un n° de Licence"))))</f>
        <v>VELO CLUB NANS LES PINS LA STE BAUME</v>
      </c>
      <c r="J6" s="22">
        <v>39887</v>
      </c>
      <c r="K6" s="16">
        <f t="shared" ref="K6:K69" ca="1" si="0">IF(J6="","",YEAR(TODAY())-YEAR(J6))</f>
        <v>9</v>
      </c>
      <c r="L6" s="17" t="str">
        <f t="shared" ref="L6:L69" ca="1" si="1">IF(K6="","",IF(K6&lt;13,"PUPILLE",IF(AND(K6&gt;12,K6&lt;15),"MINIME",IF(AND(K6&gt;14,K6&lt;17),"CADET",IF(AND(K6&gt;15,K6&lt;19),"JUNIOR","SENIOR")))))</f>
        <v>PUPILLE</v>
      </c>
      <c r="M6" s="20" t="s">
        <v>141</v>
      </c>
      <c r="N6" s="20" t="s">
        <v>96</v>
      </c>
      <c r="O6" s="23"/>
    </row>
    <row r="7" spans="1:15" x14ac:dyDescent="0.25">
      <c r="A7" s="16" t="str">
        <f>IF(H7="","",IF(LOOKUP(H7,Clubs!B$2:C$201)="","",LOOKUP(H7,Clubs!B$2:C$201)))</f>
        <v>L</v>
      </c>
      <c r="B7" s="17">
        <v>3</v>
      </c>
      <c r="C7" s="11" t="s">
        <v>126</v>
      </c>
      <c r="D7" s="27">
        <v>3</v>
      </c>
      <c r="E7" s="19" t="s">
        <v>144</v>
      </c>
      <c r="F7" s="19" t="s">
        <v>145</v>
      </c>
      <c r="G7" s="20">
        <v>804015</v>
      </c>
      <c r="H7" s="21">
        <v>8035</v>
      </c>
      <c r="I7" s="18" t="str">
        <f>IF(G7="NL","",IF(AND(G7&lt;&gt;"",H7&lt;&gt;""),LOOKUP(H7,Clubs!B$2:D$201),IF(AND(G7="",H7=""),"",IF(AND(G7&lt;&gt;"",H7=""),"ERREUR mettre un n° de club","ERREUR mettre un n° de Licence"))))</f>
        <v>VELO CLUB NANS LES PINS LA STE BAUME</v>
      </c>
      <c r="J7" s="22">
        <v>38289</v>
      </c>
      <c r="K7" s="16">
        <f t="shared" ca="1" si="0"/>
        <v>14</v>
      </c>
      <c r="L7" s="17" t="str">
        <f t="shared" ca="1" si="1"/>
        <v>MINIME</v>
      </c>
      <c r="M7" s="20" t="s">
        <v>141</v>
      </c>
      <c r="N7" s="20" t="s">
        <v>96</v>
      </c>
      <c r="O7" s="23"/>
    </row>
    <row r="8" spans="1:15" x14ac:dyDescent="0.25">
      <c r="A8" s="16" t="str">
        <f>IF(H8="","",IF(LOOKUP(H8,Clubs!B$2:C$201)="","",LOOKUP(H8,Clubs!B$2:C$201)))</f>
        <v>L</v>
      </c>
      <c r="B8" s="17">
        <v>4</v>
      </c>
      <c r="C8" s="11" t="s">
        <v>126</v>
      </c>
      <c r="D8" s="27">
        <v>4</v>
      </c>
      <c r="E8" s="19" t="s">
        <v>169</v>
      </c>
      <c r="F8" s="19" t="s">
        <v>170</v>
      </c>
      <c r="G8" s="20">
        <v>834705</v>
      </c>
      <c r="H8" s="21">
        <v>8035</v>
      </c>
      <c r="I8" s="18" t="str">
        <f>IF(G8="NL","",IF(AND(G8&lt;&gt;"",H8&lt;&gt;""),LOOKUP(H8,Clubs!B$2:D$201),IF(AND(G8="",H8=""),"",IF(AND(G8&lt;&gt;"",H8=""),"ERREUR mettre un n° de club","ERREUR mettre un n° de Licence"))))</f>
        <v>VELO CLUB NANS LES PINS LA STE BAUME</v>
      </c>
      <c r="J8" s="22">
        <v>38151</v>
      </c>
      <c r="K8" s="16">
        <f t="shared" ca="1" si="0"/>
        <v>14</v>
      </c>
      <c r="L8" s="17" t="str">
        <f t="shared" ca="1" si="1"/>
        <v>MINIME</v>
      </c>
      <c r="M8" s="20" t="s">
        <v>137</v>
      </c>
      <c r="N8" s="20" t="s">
        <v>96</v>
      </c>
      <c r="O8" s="23"/>
    </row>
    <row r="9" spans="1:15" x14ac:dyDescent="0.25">
      <c r="A9" s="16" t="str">
        <f>IF(H9="","",IF(LOOKUP(H9,Clubs!B$2:C$201)="","",LOOKUP(H9,Clubs!B$2:C$201)))</f>
        <v>L</v>
      </c>
      <c r="B9" s="17">
        <v>5</v>
      </c>
      <c r="C9" s="11" t="s">
        <v>126</v>
      </c>
      <c r="D9" s="27">
        <v>5</v>
      </c>
      <c r="E9" s="19" t="s">
        <v>146</v>
      </c>
      <c r="F9" s="19" t="s">
        <v>147</v>
      </c>
      <c r="G9" s="20">
        <v>804786</v>
      </c>
      <c r="H9" s="21">
        <v>8035</v>
      </c>
      <c r="I9" s="18" t="str">
        <f>IF(G9="NL","",IF(AND(G9&lt;&gt;"",H9&lt;&gt;""),LOOKUP(H9,Clubs!B$2:D$201),IF(AND(G9="",H9=""),"",IF(AND(G9&lt;&gt;"",H9=""),"ERREUR mettre un n° de club","ERREUR mettre un n° de Licence"))))</f>
        <v>VELO CLUB NANS LES PINS LA STE BAUME</v>
      </c>
      <c r="J9" s="22">
        <v>39496</v>
      </c>
      <c r="K9" s="16">
        <f t="shared" ca="1" si="0"/>
        <v>10</v>
      </c>
      <c r="L9" s="17" t="str">
        <f t="shared" ca="1" si="1"/>
        <v>PUPILLE</v>
      </c>
      <c r="M9" s="20" t="s">
        <v>141</v>
      </c>
      <c r="N9" s="20" t="s">
        <v>96</v>
      </c>
      <c r="O9" s="23"/>
    </row>
    <row r="10" spans="1:15" x14ac:dyDescent="0.25">
      <c r="A10" s="16" t="str">
        <f>IF(H10="","",IF(LOOKUP(H10,Clubs!B$2:C$201)="","",LOOKUP(H10,Clubs!B$2:C$201)))</f>
        <v>L</v>
      </c>
      <c r="B10" s="17">
        <v>6</v>
      </c>
      <c r="C10" s="11" t="s">
        <v>126</v>
      </c>
      <c r="D10" s="27">
        <v>6</v>
      </c>
      <c r="E10" s="19" t="s">
        <v>146</v>
      </c>
      <c r="F10" s="19" t="s">
        <v>148</v>
      </c>
      <c r="G10" s="20">
        <v>804783</v>
      </c>
      <c r="H10" s="21">
        <v>8035</v>
      </c>
      <c r="I10" s="18" t="str">
        <f>IF(G10="NL","",IF(AND(G10&lt;&gt;"",H10&lt;&gt;""),LOOKUP(H10,Clubs!B$2:D$201),IF(AND(G10="",H10=""),"",IF(AND(G10&lt;&gt;"",H10=""),"ERREUR mettre un n° de club","ERREUR mettre un n° de Licence"))))</f>
        <v>VELO CLUB NANS LES PINS LA STE BAUME</v>
      </c>
      <c r="J10" s="22">
        <v>38427</v>
      </c>
      <c r="K10" s="16">
        <f t="shared" ca="1" si="0"/>
        <v>13</v>
      </c>
      <c r="L10" s="17" t="str">
        <f t="shared" ca="1" si="1"/>
        <v>MINIME</v>
      </c>
      <c r="M10" s="20" t="s">
        <v>137</v>
      </c>
      <c r="N10" s="20" t="s">
        <v>96</v>
      </c>
      <c r="O10" s="23"/>
    </row>
    <row r="11" spans="1:15" x14ac:dyDescent="0.25">
      <c r="A11" s="16" t="str">
        <f>IF(H11="","",IF(LOOKUP(H11,Clubs!B$2:C$201)="","",LOOKUP(H11,Clubs!B$2:C$201)))</f>
        <v>L</v>
      </c>
      <c r="B11" s="17">
        <v>7</v>
      </c>
      <c r="C11" s="11" t="s">
        <v>126</v>
      </c>
      <c r="D11" s="27">
        <v>7</v>
      </c>
      <c r="E11" s="19" t="s">
        <v>151</v>
      </c>
      <c r="F11" s="19" t="s">
        <v>152</v>
      </c>
      <c r="G11" s="20">
        <v>812168</v>
      </c>
      <c r="H11" s="21">
        <v>8035</v>
      </c>
      <c r="I11" s="18" t="str">
        <f>IF(G11="NL","",IF(AND(G11&lt;&gt;"",H11&lt;&gt;""),LOOKUP(H11,Clubs!B$2:D$201),IF(AND(G11="",H11=""),"",IF(AND(G11&lt;&gt;"",H11=""),"ERREUR mettre un n° de club","ERREUR mettre un n° de Licence"))))</f>
        <v>VELO CLUB NANS LES PINS LA STE BAUME</v>
      </c>
      <c r="J11" s="22">
        <v>38427</v>
      </c>
      <c r="K11" s="16">
        <f t="shared" ca="1" si="0"/>
        <v>13</v>
      </c>
      <c r="L11" s="17" t="str">
        <f t="shared" ca="1" si="1"/>
        <v>MINIME</v>
      </c>
      <c r="M11" s="20" t="s">
        <v>141</v>
      </c>
      <c r="N11" s="20" t="s">
        <v>95</v>
      </c>
      <c r="O11" s="23"/>
    </row>
    <row r="12" spans="1:15" x14ac:dyDescent="0.25">
      <c r="A12" s="16" t="str">
        <f>IF(H12="","",IF(LOOKUP(H12,Clubs!B$2:C$201)="","",LOOKUP(H12,Clubs!B$2:C$201)))</f>
        <v>L</v>
      </c>
      <c r="B12" s="17">
        <v>8</v>
      </c>
      <c r="C12" s="11" t="s">
        <v>126</v>
      </c>
      <c r="D12" s="27">
        <v>8</v>
      </c>
      <c r="E12" s="19" t="s">
        <v>153</v>
      </c>
      <c r="F12" s="19" t="s">
        <v>154</v>
      </c>
      <c r="G12" s="20">
        <v>819763</v>
      </c>
      <c r="H12" s="21">
        <v>8035</v>
      </c>
      <c r="I12" s="18" t="str">
        <f>IF(G12="NL","",IF(AND(G12&lt;&gt;"",H12&lt;&gt;""),LOOKUP(H12,Clubs!B$2:D$201),IF(AND(G12="",H12=""),"",IF(AND(G12&lt;&gt;"",H12=""),"ERREUR mettre un n° de club","ERREUR mettre un n° de Licence"))))</f>
        <v>VELO CLUB NANS LES PINS LA STE BAUME</v>
      </c>
      <c r="J12" s="22">
        <v>38091</v>
      </c>
      <c r="K12" s="16">
        <f ca="1">IF(J12="","",YEAR(TODAY())-YEAR(J12))</f>
        <v>14</v>
      </c>
      <c r="L12" s="17" t="str">
        <f t="shared" ca="1" si="1"/>
        <v>MINIME</v>
      </c>
      <c r="M12" s="20" t="s">
        <v>137</v>
      </c>
      <c r="N12" s="20" t="s">
        <v>96</v>
      </c>
      <c r="O12" s="23"/>
    </row>
    <row r="13" spans="1:15" x14ac:dyDescent="0.25">
      <c r="A13" s="16" t="str">
        <f>IF(H13="","",IF(LOOKUP(H13,Clubs!B$2:C$201)="","",LOOKUP(H13,Clubs!B$2:C$201)))</f>
        <v>L</v>
      </c>
      <c r="B13" s="17">
        <v>9</v>
      </c>
      <c r="C13" s="11" t="s">
        <v>126</v>
      </c>
      <c r="D13" s="27">
        <v>9</v>
      </c>
      <c r="E13" s="19" t="s">
        <v>155</v>
      </c>
      <c r="F13" s="19" t="s">
        <v>156</v>
      </c>
      <c r="G13" s="20">
        <v>819165</v>
      </c>
      <c r="H13" s="21">
        <v>8035</v>
      </c>
      <c r="I13" s="18" t="str">
        <f>IF(G13="NL","",IF(AND(G13&lt;&gt;"",H13&lt;&gt;""),LOOKUP(H13,Clubs!B$2:D$201),IF(AND(G13="",H13=""),"",IF(AND(G13&lt;&gt;"",H13=""),"ERREUR mettre un n° de club","ERREUR mettre un n° de Licence"))))</f>
        <v>VELO CLUB NANS LES PINS LA STE BAUME</v>
      </c>
      <c r="J13" s="22">
        <v>36952</v>
      </c>
      <c r="K13" s="16">
        <f ca="1">IF(J13="","",YEAR(TODAY())-YEAR(J13))</f>
        <v>17</v>
      </c>
      <c r="L13" s="17" t="str">
        <f t="shared" ca="1" si="1"/>
        <v>JUNIOR</v>
      </c>
      <c r="M13" s="20" t="s">
        <v>137</v>
      </c>
      <c r="N13" s="20" t="s">
        <v>96</v>
      </c>
      <c r="O13" s="23"/>
    </row>
    <row r="14" spans="1:15" x14ac:dyDescent="0.25">
      <c r="A14" s="16" t="str">
        <f>IF(H14="","",IF(LOOKUP(H14,Clubs!B$2:C$201)="","",LOOKUP(H14,Clubs!B$2:C$201)))</f>
        <v>L</v>
      </c>
      <c r="B14" s="17">
        <v>10</v>
      </c>
      <c r="C14" s="11" t="s">
        <v>126</v>
      </c>
      <c r="D14" s="27">
        <v>10</v>
      </c>
      <c r="E14" s="19" t="s">
        <v>155</v>
      </c>
      <c r="F14" s="19" t="s">
        <v>167</v>
      </c>
      <c r="G14" s="20">
        <v>819166</v>
      </c>
      <c r="H14" s="21">
        <v>8035</v>
      </c>
      <c r="I14" s="18" t="str">
        <f>IF(G14="NL","",IF(AND(G14&lt;&gt;"",H14&lt;&gt;""),LOOKUP(H14,Clubs!B$2:D$201),IF(AND(G14="",H14=""),"",IF(AND(G14&lt;&gt;"",H14=""),"ERREUR mettre un n° de club","ERREUR mettre un n° de Licence"))))</f>
        <v>VELO CLUB NANS LES PINS LA STE BAUME</v>
      </c>
      <c r="J14" s="22">
        <v>37841</v>
      </c>
      <c r="K14" s="16">
        <f t="shared" ca="1" si="0"/>
        <v>15</v>
      </c>
      <c r="L14" s="17" t="str">
        <f t="shared" ca="1" si="1"/>
        <v>CADET</v>
      </c>
      <c r="M14" s="20" t="s">
        <v>137</v>
      </c>
      <c r="N14" s="20" t="s">
        <v>96</v>
      </c>
      <c r="O14" s="23"/>
    </row>
    <row r="15" spans="1:15" x14ac:dyDescent="0.25">
      <c r="A15" s="16" t="str">
        <f>IF(H15="","",IF(LOOKUP(H15,Clubs!B$2:C$201)="","",LOOKUP(H15,Clubs!B$2:C$201)))</f>
        <v>L</v>
      </c>
      <c r="B15" s="17">
        <v>11</v>
      </c>
      <c r="C15" s="11" t="s">
        <v>126</v>
      </c>
      <c r="D15" s="27">
        <v>11</v>
      </c>
      <c r="E15" s="19" t="s">
        <v>155</v>
      </c>
      <c r="F15" s="19" t="s">
        <v>166</v>
      </c>
      <c r="G15" s="20">
        <v>828108</v>
      </c>
      <c r="H15" s="21">
        <v>8035</v>
      </c>
      <c r="I15" s="18" t="str">
        <f>IF(G15="NL","",IF(AND(G15&lt;&gt;"",H15&lt;&gt;""),LOOKUP(H15,Clubs!B$2:D$201),IF(AND(G15="",H15=""),"",IF(AND(G15&lt;&gt;"",H15=""),"ERREUR mettre un n° de club","ERREUR mettre un n° de Licence"))))</f>
        <v>VELO CLUB NANS LES PINS LA STE BAUME</v>
      </c>
      <c r="J15" s="22">
        <v>39307</v>
      </c>
      <c r="K15" s="16">
        <f t="shared" ca="1" si="0"/>
        <v>11</v>
      </c>
      <c r="L15" s="17" t="str">
        <f t="shared" ca="1" si="1"/>
        <v>PUPILLE</v>
      </c>
      <c r="M15" s="20"/>
      <c r="N15" s="20" t="s">
        <v>96</v>
      </c>
      <c r="O15" s="23"/>
    </row>
    <row r="16" spans="1:15" x14ac:dyDescent="0.25">
      <c r="A16" s="16" t="str">
        <f>IF(H16="","",IF(LOOKUP(H16,Clubs!B$2:C$201)="","",LOOKUP(H16,Clubs!B$2:C$201)))</f>
        <v>L</v>
      </c>
      <c r="B16" s="17">
        <v>12</v>
      </c>
      <c r="C16" s="11" t="s">
        <v>126</v>
      </c>
      <c r="D16" s="27">
        <v>12</v>
      </c>
      <c r="E16" s="19" t="s">
        <v>171</v>
      </c>
      <c r="F16" s="19" t="s">
        <v>172</v>
      </c>
      <c r="G16" s="20">
        <v>818853</v>
      </c>
      <c r="H16" s="21">
        <v>8035</v>
      </c>
      <c r="I16" s="18" t="str">
        <f>IF(G16="NL","",IF(AND(G16&lt;&gt;"",H16&lt;&gt;""),LOOKUP(H16,Clubs!B$2:D$201),IF(AND(G16="",H16=""),"",IF(AND(G16&lt;&gt;"",H16=""),"ERREUR mettre un n° de club","ERREUR mettre un n° de Licence"))))</f>
        <v>VELO CLUB NANS LES PINS LA STE BAUME</v>
      </c>
      <c r="J16" s="22">
        <v>39561</v>
      </c>
      <c r="K16" s="16">
        <f t="shared" ca="1" si="0"/>
        <v>10</v>
      </c>
      <c r="L16" s="17" t="str">
        <f t="shared" ca="1" si="1"/>
        <v>PUPILLE</v>
      </c>
      <c r="M16" s="20" t="s">
        <v>141</v>
      </c>
      <c r="N16" s="20" t="s">
        <v>96</v>
      </c>
      <c r="O16" s="23"/>
    </row>
    <row r="17" spans="1:15" x14ac:dyDescent="0.25">
      <c r="A17" s="16" t="str">
        <f>IF(H17="","",IF(LOOKUP(H17,Clubs!B$2:C$201)="","",LOOKUP(H17,Clubs!B$2:C$201)))</f>
        <v>L</v>
      </c>
      <c r="B17" s="17">
        <v>13</v>
      </c>
      <c r="C17" s="11" t="s">
        <v>126</v>
      </c>
      <c r="D17" s="27">
        <v>13</v>
      </c>
      <c r="E17" s="19" t="s">
        <v>158</v>
      </c>
      <c r="F17" s="19" t="s">
        <v>159</v>
      </c>
      <c r="G17" s="20">
        <v>820382</v>
      </c>
      <c r="H17" s="21">
        <v>8035</v>
      </c>
      <c r="I17" s="18" t="str">
        <f>IF(G17="NL","",IF(AND(G17&lt;&gt;"",H17&lt;&gt;""),LOOKUP(H17,Clubs!B$2:D$201),IF(AND(G17="",H17=""),"",IF(AND(G17&lt;&gt;"",H17=""),"ERREUR mettre un n° de club","ERREUR mettre un n° de Licence"))))</f>
        <v>VELO CLUB NANS LES PINS LA STE BAUME</v>
      </c>
      <c r="J17" s="22">
        <v>38621</v>
      </c>
      <c r="K17" s="16">
        <f t="shared" ca="1" si="0"/>
        <v>13</v>
      </c>
      <c r="L17" s="17" t="str">
        <f t="shared" ca="1" si="1"/>
        <v>MINIME</v>
      </c>
      <c r="M17" s="20" t="s">
        <v>141</v>
      </c>
      <c r="N17" s="20" t="s">
        <v>96</v>
      </c>
      <c r="O17" s="23"/>
    </row>
    <row r="18" spans="1:15" x14ac:dyDescent="0.25">
      <c r="A18" s="16" t="str">
        <f>IF(H18="","",IF(LOOKUP(H18,Clubs!B$2:C$201)="","",LOOKUP(H18,Clubs!B$2:C$201)))</f>
        <v>L</v>
      </c>
      <c r="B18" s="17">
        <v>14</v>
      </c>
      <c r="C18" s="11" t="s">
        <v>126</v>
      </c>
      <c r="D18" s="27">
        <v>14</v>
      </c>
      <c r="E18" s="19" t="s">
        <v>173</v>
      </c>
      <c r="F18" s="19" t="s">
        <v>160</v>
      </c>
      <c r="G18" s="20">
        <v>804032</v>
      </c>
      <c r="H18" s="21">
        <v>8035</v>
      </c>
      <c r="I18" s="18" t="str">
        <f>IF(G18="NL","",IF(AND(G18&lt;&gt;"",H18&lt;&gt;""),LOOKUP(H18,Clubs!B$2:D$201),IF(AND(G18="",H18=""),"",IF(AND(G18&lt;&gt;"",H18=""),"ERREUR mettre un n° de club","ERREUR mettre un n° de Licence"))))</f>
        <v>VELO CLUB NANS LES PINS LA STE BAUME</v>
      </c>
      <c r="J18" s="22">
        <v>38290</v>
      </c>
      <c r="K18" s="16">
        <f t="shared" ca="1" si="0"/>
        <v>14</v>
      </c>
      <c r="L18" s="17" t="str">
        <f t="shared" ca="1" si="1"/>
        <v>MINIME</v>
      </c>
      <c r="M18" s="20" t="s">
        <v>141</v>
      </c>
      <c r="N18" s="20" t="s">
        <v>96</v>
      </c>
      <c r="O18" s="23"/>
    </row>
    <row r="19" spans="1:15" x14ac:dyDescent="0.25">
      <c r="A19" s="16" t="str">
        <f>IF(H19="","",IF(LOOKUP(H19,Clubs!B$2:C$201)="","",LOOKUP(H19,Clubs!B$2:C$201)))</f>
        <v>L</v>
      </c>
      <c r="B19" s="17">
        <v>15</v>
      </c>
      <c r="C19" s="11" t="s">
        <v>126</v>
      </c>
      <c r="D19" s="27">
        <v>15</v>
      </c>
      <c r="E19" s="19" t="s">
        <v>161</v>
      </c>
      <c r="F19" s="19" t="s">
        <v>162</v>
      </c>
      <c r="G19" s="20">
        <v>802114</v>
      </c>
      <c r="H19" s="21">
        <v>8035</v>
      </c>
      <c r="I19" s="18" t="str">
        <f>IF(G19="NL","",IF(AND(G19&lt;&gt;"",H19&lt;&gt;""),LOOKUP(H19,Clubs!B$2:D$201),IF(AND(G19="",H19=""),"",IF(AND(G19&lt;&gt;"",H19=""),"ERREUR mettre un n° de club","ERREUR mettre un n° de Licence"))))</f>
        <v>VELO CLUB NANS LES PINS LA STE BAUME</v>
      </c>
      <c r="J19" s="22">
        <v>38489</v>
      </c>
      <c r="K19" s="16">
        <f t="shared" ca="1" si="0"/>
        <v>13</v>
      </c>
      <c r="L19" s="17" t="str">
        <f t="shared" ca="1" si="1"/>
        <v>MINIME</v>
      </c>
      <c r="M19" s="20" t="s">
        <v>141</v>
      </c>
      <c r="N19" s="20" t="s">
        <v>96</v>
      </c>
      <c r="O19" s="23"/>
    </row>
    <row r="20" spans="1:15" x14ac:dyDescent="0.25">
      <c r="A20" s="16" t="str">
        <f>IF(H20="","",IF(LOOKUP(H20,Clubs!B$2:C$201)="","",LOOKUP(H20,Clubs!B$2:C$201)))</f>
        <v>L</v>
      </c>
      <c r="B20" s="17">
        <v>16</v>
      </c>
      <c r="C20" s="11" t="s">
        <v>126</v>
      </c>
      <c r="D20" s="27">
        <v>16</v>
      </c>
      <c r="E20" s="19" t="s">
        <v>138</v>
      </c>
      <c r="F20" s="19" t="s">
        <v>163</v>
      </c>
      <c r="G20" s="20">
        <v>803124</v>
      </c>
      <c r="H20" s="21">
        <v>8035</v>
      </c>
      <c r="I20" s="18" t="str">
        <f>IF(G20="NL","",IF(AND(G20&lt;&gt;"",H20&lt;&gt;""),LOOKUP(H20,Clubs!B$2:D$201),IF(AND(G20="",H20=""),"",IF(AND(G20&lt;&gt;"",H20=""),"ERREUR mettre un n° de club","ERREUR mettre un n° de Licence"))))</f>
        <v>VELO CLUB NANS LES PINS LA STE BAUME</v>
      </c>
      <c r="J20" s="22">
        <v>39435</v>
      </c>
      <c r="K20" s="16">
        <f t="shared" ca="1" si="0"/>
        <v>11</v>
      </c>
      <c r="L20" s="17" t="str">
        <f t="shared" ca="1" si="1"/>
        <v>PUPILLE</v>
      </c>
      <c r="M20" s="20" t="s">
        <v>141</v>
      </c>
      <c r="N20" s="20" t="s">
        <v>96</v>
      </c>
      <c r="O20" s="23"/>
    </row>
    <row r="21" spans="1:15" x14ac:dyDescent="0.25">
      <c r="A21" s="16" t="str">
        <f>IF(H21="","",IF(LOOKUP(H21,Clubs!B$2:C$201)="","",LOOKUP(H21,Clubs!B$2:C$201)))</f>
        <v>L</v>
      </c>
      <c r="B21" s="17">
        <v>17</v>
      </c>
      <c r="C21" s="11" t="s">
        <v>126</v>
      </c>
      <c r="D21" s="27">
        <v>17</v>
      </c>
      <c r="E21" s="19" t="s">
        <v>164</v>
      </c>
      <c r="F21" s="19" t="s">
        <v>165</v>
      </c>
      <c r="G21" s="20">
        <v>818863</v>
      </c>
      <c r="H21" s="21">
        <v>8035</v>
      </c>
      <c r="I21" s="18" t="str">
        <f>IF(G21="NL","",IF(AND(G21&lt;&gt;"",H21&lt;&gt;""),LOOKUP(H21,Clubs!B$2:D$201),IF(AND(G21="",H21=""),"",IF(AND(G21&lt;&gt;"",H21=""),"ERREUR mettre un n° de club","ERREUR mettre un n° de Licence"))))</f>
        <v>VELO CLUB NANS LES PINS LA STE BAUME</v>
      </c>
      <c r="J21" s="22">
        <v>37334</v>
      </c>
      <c r="K21" s="16">
        <f t="shared" ca="1" si="0"/>
        <v>16</v>
      </c>
      <c r="L21" s="17" t="str">
        <f t="shared" ca="1" si="1"/>
        <v>CADET</v>
      </c>
      <c r="M21" s="20" t="s">
        <v>137</v>
      </c>
      <c r="N21" s="20" t="s">
        <v>96</v>
      </c>
      <c r="O21" s="23"/>
    </row>
    <row r="22" spans="1:15" x14ac:dyDescent="0.25">
      <c r="A22" s="16" t="str">
        <f>IF(H22="","",IF(LOOKUP(H22,Clubs!B$2:C$201)="","",LOOKUP(H22,Clubs!B$2:C$201)))</f>
        <v>L</v>
      </c>
      <c r="B22" s="17">
        <v>18</v>
      </c>
      <c r="C22" s="11" t="s">
        <v>126</v>
      </c>
      <c r="D22" s="27">
        <v>18</v>
      </c>
      <c r="E22" s="19" t="s">
        <v>144</v>
      </c>
      <c r="F22" s="19" t="s">
        <v>168</v>
      </c>
      <c r="G22" s="20">
        <v>804018</v>
      </c>
      <c r="H22" s="21">
        <v>8035</v>
      </c>
      <c r="I22" s="18" t="str">
        <f>IF(G22="NL","",IF(AND(G22&lt;&gt;"",H22&lt;&gt;""),LOOKUP(H22,Clubs!B$2:D$201),IF(AND(G22="",H22=""),"",IF(AND(G22&lt;&gt;"",H22=""),"ERREUR mettre un n° de club","ERREUR mettre un n° de Licence"))))</f>
        <v>VELO CLUB NANS LES PINS LA STE BAUME</v>
      </c>
      <c r="J22" s="22">
        <v>39077</v>
      </c>
      <c r="K22" s="16">
        <f t="shared" ca="1" si="0"/>
        <v>12</v>
      </c>
      <c r="L22" s="17" t="str">
        <f t="shared" ca="1" si="1"/>
        <v>PUPILLE</v>
      </c>
      <c r="M22" s="20" t="s">
        <v>141</v>
      </c>
      <c r="N22" s="20" t="s">
        <v>96</v>
      </c>
      <c r="O22" s="23"/>
    </row>
    <row r="23" spans="1:15" x14ac:dyDescent="0.25">
      <c r="A23" s="16" t="str">
        <f>IF(H23="","",IF(LOOKUP(H23,Clubs!B$2:C$201)="","",LOOKUP(H23,Clubs!B$2:C$201)))</f>
        <v>L</v>
      </c>
      <c r="B23" s="17">
        <v>19</v>
      </c>
      <c r="C23" s="11" t="s">
        <v>126</v>
      </c>
      <c r="D23" s="27">
        <v>19</v>
      </c>
      <c r="E23" s="19" t="s">
        <v>174</v>
      </c>
      <c r="F23" s="19" t="s">
        <v>175</v>
      </c>
      <c r="G23" s="20">
        <v>802116</v>
      </c>
      <c r="H23" s="21">
        <v>8035</v>
      </c>
      <c r="I23" s="18" t="str">
        <f>IF(G23="NL","",IF(AND(G23&lt;&gt;"",H23&lt;&gt;""),LOOKUP(H23,Clubs!B$2:D$201),IF(AND(G23="",H23=""),"",IF(AND(G23&lt;&gt;"",H23=""),"ERREUR mettre un n° de club","ERREUR mettre un n° de Licence"))))</f>
        <v>VELO CLUB NANS LES PINS LA STE BAUME</v>
      </c>
      <c r="J23" s="22">
        <v>38318</v>
      </c>
      <c r="K23" s="16">
        <f t="shared" ca="1" si="0"/>
        <v>14</v>
      </c>
      <c r="L23" s="17" t="str">
        <f t="shared" ca="1" si="1"/>
        <v>MINIME</v>
      </c>
      <c r="M23" s="20" t="s">
        <v>141</v>
      </c>
      <c r="N23" s="20" t="s">
        <v>95</v>
      </c>
      <c r="O23" s="23"/>
    </row>
    <row r="24" spans="1:15" x14ac:dyDescent="0.25">
      <c r="A24" s="16" t="str">
        <f>IF(H24="","",IF(LOOKUP(H24,Clubs!B$2:C$201)="","",LOOKUP(H24,Clubs!B$2:C$201)))</f>
        <v>L</v>
      </c>
      <c r="B24" s="17">
        <v>20</v>
      </c>
      <c r="C24" s="11" t="s">
        <v>126</v>
      </c>
      <c r="D24" s="27">
        <v>20</v>
      </c>
      <c r="E24" s="19" t="s">
        <v>176</v>
      </c>
      <c r="F24" s="19" t="s">
        <v>157</v>
      </c>
      <c r="G24" s="20">
        <v>834546</v>
      </c>
      <c r="H24" s="21">
        <v>8035</v>
      </c>
      <c r="I24" s="18" t="str">
        <f>IF(G24="NL","",IF(AND(G24&lt;&gt;"",H24&lt;&gt;""),LOOKUP(H24,Clubs!B$2:D$201),IF(AND(G24="",H24=""),"",IF(AND(G24&lt;&gt;"",H24=""),"ERREUR mettre un n° de club","ERREUR mettre un n° de Licence"))))</f>
        <v>VELO CLUB NANS LES PINS LA STE BAUME</v>
      </c>
      <c r="J24" s="22">
        <v>39610</v>
      </c>
      <c r="K24" s="16">
        <f t="shared" ca="1" si="0"/>
        <v>10</v>
      </c>
      <c r="L24" s="17" t="str">
        <f ca="1">IF(K24="","",IF(K24&lt;13,"PUPILLE",IF(AND(K24&gt;12,K24&lt;15),"MINIME",IF(AND(K24&gt;14,K24&lt;17),"CADET",IF(AND(K24&gt;15,K24&lt;19),"JUNIOR","SENIOR")))))</f>
        <v>PUPILLE</v>
      </c>
      <c r="M24" s="20" t="s">
        <v>141</v>
      </c>
      <c r="N24" s="20" t="s">
        <v>95</v>
      </c>
      <c r="O24" s="23"/>
    </row>
    <row r="25" spans="1:15" x14ac:dyDescent="0.25">
      <c r="A25" s="16" t="str">
        <f>IF(H25="","",IF(LOOKUP(H25,Clubs!B$2:C$201)="","",LOOKUP(H25,Clubs!B$2:C$201)))</f>
        <v>L</v>
      </c>
      <c r="B25" s="17">
        <v>21</v>
      </c>
      <c r="C25" s="11" t="s">
        <v>126</v>
      </c>
      <c r="D25" s="27">
        <v>21</v>
      </c>
      <c r="E25" s="19" t="s">
        <v>177</v>
      </c>
      <c r="F25" s="19" t="s">
        <v>178</v>
      </c>
      <c r="G25" s="20">
        <v>819346</v>
      </c>
      <c r="H25" s="21">
        <v>8035</v>
      </c>
      <c r="I25" s="18" t="str">
        <f>IF(G25="NL","",IF(AND(G25&lt;&gt;"",H25&lt;&gt;""),LOOKUP(H25,Clubs!B$2:D$201),IF(AND(G25="",H25=""),"",IF(AND(G25&lt;&gt;"",H25=""),"ERREUR mettre un n° de club","ERREUR mettre un n° de Licence"))))</f>
        <v>VELO CLUB NANS LES PINS LA STE BAUME</v>
      </c>
      <c r="J25" s="22">
        <v>38854</v>
      </c>
      <c r="K25" s="16">
        <f t="shared" ca="1" si="0"/>
        <v>12</v>
      </c>
      <c r="L25" s="17" t="str">
        <f t="shared" ca="1" si="1"/>
        <v>PUPILLE</v>
      </c>
      <c r="M25" s="20" t="s">
        <v>141</v>
      </c>
      <c r="N25" s="20" t="s">
        <v>95</v>
      </c>
      <c r="O25" s="23"/>
    </row>
    <row r="26" spans="1:15" x14ac:dyDescent="0.25">
      <c r="A26" s="16" t="str">
        <f>IF(H26="","",IF(LOOKUP(H26,Clubs!B$2:C$201)="","",LOOKUP(H26,Clubs!B$2:C$201)))</f>
        <v>L</v>
      </c>
      <c r="B26" s="17">
        <v>22</v>
      </c>
      <c r="C26" s="11" t="s">
        <v>126</v>
      </c>
      <c r="D26" s="27">
        <v>22</v>
      </c>
      <c r="E26" s="19" t="s">
        <v>179</v>
      </c>
      <c r="F26" s="19" t="s">
        <v>180</v>
      </c>
      <c r="G26" s="20">
        <v>804044</v>
      </c>
      <c r="H26" s="21">
        <v>8035</v>
      </c>
      <c r="I26" s="18" t="str">
        <f>IF(G26="NL","",IF(AND(G26&lt;&gt;"",H26&lt;&gt;""),LOOKUP(H26,Clubs!B$2:D$201),IF(AND(G26="",H26=""),"",IF(AND(G26&lt;&gt;"",H26=""),"ERREUR mettre un n° de club","ERREUR mettre un n° de Licence"))))</f>
        <v>VELO CLUB NANS LES PINS LA STE BAUME</v>
      </c>
      <c r="J26" s="22">
        <v>39756</v>
      </c>
      <c r="K26" s="16">
        <f t="shared" ca="1" si="0"/>
        <v>10</v>
      </c>
      <c r="L26" s="17" t="str">
        <f t="shared" ca="1" si="1"/>
        <v>PUPILLE</v>
      </c>
      <c r="M26" s="20"/>
      <c r="N26" s="20" t="s">
        <v>95</v>
      </c>
      <c r="O26" s="23"/>
    </row>
    <row r="27" spans="1:15" x14ac:dyDescent="0.25">
      <c r="A27" s="16" t="str">
        <f>IF(H27="","",IF(LOOKUP(H27,Clubs!B$2:C$201)="","",LOOKUP(H27,Clubs!B$2:C$201)))</f>
        <v>L</v>
      </c>
      <c r="B27" s="17">
        <v>23</v>
      </c>
      <c r="C27" s="11" t="s">
        <v>126</v>
      </c>
      <c r="D27" s="27">
        <v>23</v>
      </c>
      <c r="E27" s="19" t="s">
        <v>181</v>
      </c>
      <c r="F27" s="19" t="s">
        <v>182</v>
      </c>
      <c r="G27" s="20">
        <v>803098</v>
      </c>
      <c r="H27" s="21">
        <v>8035</v>
      </c>
      <c r="I27" s="18" t="str">
        <f>IF(G27="NL","",IF(AND(G27&lt;&gt;"",H27&lt;&gt;""),LOOKUP(H27,Clubs!B$2:D$201),IF(AND(G27="",H27=""),"",IF(AND(G27&lt;&gt;"",H27=""),"ERREUR mettre un n° de club","ERREUR mettre un n° de Licence"))))</f>
        <v>VELO CLUB NANS LES PINS LA STE BAUME</v>
      </c>
      <c r="J27" s="22">
        <v>37993</v>
      </c>
      <c r="K27" s="16">
        <f t="shared" ca="1" si="0"/>
        <v>14</v>
      </c>
      <c r="L27" s="17" t="str">
        <f t="shared" ca="1" si="1"/>
        <v>MINIME</v>
      </c>
      <c r="M27" s="20" t="s">
        <v>141</v>
      </c>
      <c r="N27" s="20" t="s">
        <v>95</v>
      </c>
      <c r="O27" s="23"/>
    </row>
    <row r="28" spans="1:15" x14ac:dyDescent="0.25">
      <c r="A28" s="16" t="str">
        <f>IF(H28="","",IF(LOOKUP(H28,Clubs!B$2:C$201)="","",LOOKUP(H28,Clubs!B$2:C$201)))</f>
        <v>L</v>
      </c>
      <c r="B28" s="17">
        <v>24</v>
      </c>
      <c r="C28" s="11" t="s">
        <v>126</v>
      </c>
      <c r="D28" s="27">
        <v>24</v>
      </c>
      <c r="E28" s="19" t="s">
        <v>183</v>
      </c>
      <c r="F28" s="19" t="s">
        <v>184</v>
      </c>
      <c r="G28" s="20">
        <v>830367</v>
      </c>
      <c r="H28" s="21">
        <v>8035</v>
      </c>
      <c r="I28" s="18" t="str">
        <f>IF(G28="NL","",IF(AND(G28&lt;&gt;"",H28&lt;&gt;""),LOOKUP(H28,Clubs!B$2:D$201),IF(AND(G28="",H28=""),"",IF(AND(G28&lt;&gt;"",H28=""),"ERREUR mettre un n° de club","ERREUR mettre un n° de Licence"))))</f>
        <v>VELO CLUB NANS LES PINS LA STE BAUME</v>
      </c>
      <c r="J28" s="22">
        <v>38955</v>
      </c>
      <c r="K28" s="16">
        <f t="shared" ca="1" si="0"/>
        <v>12</v>
      </c>
      <c r="L28" s="17" t="str">
        <f t="shared" ca="1" si="1"/>
        <v>PUPILLE</v>
      </c>
      <c r="M28" s="20" t="s">
        <v>141</v>
      </c>
      <c r="N28" s="20" t="s">
        <v>95</v>
      </c>
      <c r="O28" s="23"/>
    </row>
    <row r="29" spans="1:15" x14ac:dyDescent="0.25">
      <c r="A29" s="16" t="str">
        <f>IF(H29="","",IF(LOOKUP(H29,Clubs!B$2:C$201)="","",LOOKUP(H29,Clubs!B$2:C$201)))</f>
        <v>L</v>
      </c>
      <c r="B29" s="17">
        <v>25</v>
      </c>
      <c r="C29" s="11" t="s">
        <v>126</v>
      </c>
      <c r="D29" s="27">
        <v>25</v>
      </c>
      <c r="E29" s="19" t="s">
        <v>185</v>
      </c>
      <c r="F29" s="19" t="s">
        <v>186</v>
      </c>
      <c r="G29" s="20">
        <v>834551</v>
      </c>
      <c r="H29" s="21">
        <v>8035</v>
      </c>
      <c r="I29" s="18" t="str">
        <f>IF(G29="NL","",IF(AND(G29&lt;&gt;"",H29&lt;&gt;""),LOOKUP(H29,Clubs!B$2:D$201),IF(AND(G29="",H29=""),"",IF(AND(G29&lt;&gt;"",H29=""),"ERREUR mettre un n° de club","ERREUR mettre un n° de Licence"))))</f>
        <v>VELO CLUB NANS LES PINS LA STE BAUME</v>
      </c>
      <c r="J29" s="22">
        <v>39887</v>
      </c>
      <c r="K29" s="16">
        <f t="shared" ca="1" si="0"/>
        <v>9</v>
      </c>
      <c r="L29" s="17" t="str">
        <f t="shared" ca="1" si="1"/>
        <v>PUPILLE</v>
      </c>
      <c r="M29" s="20"/>
      <c r="N29" s="20" t="s">
        <v>95</v>
      </c>
      <c r="O29" s="23"/>
    </row>
    <row r="30" spans="1:15" x14ac:dyDescent="0.25">
      <c r="A30" s="16" t="str">
        <f>IF(H30="","",IF(LOOKUP(H30,Clubs!B$2:C$201)="","",LOOKUP(H30,Clubs!B$2:C$201)))</f>
        <v/>
      </c>
      <c r="B30" s="17">
        <v>26</v>
      </c>
      <c r="C30" s="11" t="s">
        <v>126</v>
      </c>
      <c r="D30" s="27"/>
      <c r="E30" s="19"/>
      <c r="F30" s="19"/>
      <c r="G30" s="20"/>
      <c r="H30" s="21"/>
      <c r="I30" s="18" t="str">
        <f>IF(G30="NL","",IF(AND(G30&lt;&gt;"",H30&lt;&gt;""),LOOKUP(H30,Clubs!B$2:D$201),IF(AND(G30="",H30=""),"",IF(AND(G30&lt;&gt;"",H30=""),"ERREUR mettre un n° de club","ERREUR mettre un n° de Licence"))))</f>
        <v/>
      </c>
      <c r="J30" s="22"/>
      <c r="K30" s="16" t="str">
        <f t="shared" ca="1" si="0"/>
        <v/>
      </c>
      <c r="L30" s="17" t="str">
        <f t="shared" ca="1" si="1"/>
        <v/>
      </c>
      <c r="M30" s="20"/>
      <c r="N30" s="20"/>
      <c r="O30" s="23"/>
    </row>
    <row r="31" spans="1:15" x14ac:dyDescent="0.25">
      <c r="A31" s="16" t="str">
        <f>IF(H31="","",IF(LOOKUP(H31,Clubs!B$2:C$201)="","",LOOKUP(H31,Clubs!B$2:C$201)))</f>
        <v/>
      </c>
      <c r="B31" s="17">
        <v>27</v>
      </c>
      <c r="C31" s="11" t="s">
        <v>126</v>
      </c>
      <c r="D31" s="27"/>
      <c r="E31" s="19"/>
      <c r="F31" s="19"/>
      <c r="G31" s="20"/>
      <c r="H31" s="21"/>
      <c r="I31" s="18" t="str">
        <f>IF(G31="NL","",IF(AND(G31&lt;&gt;"",H31&lt;&gt;""),LOOKUP(H31,Clubs!B$2:D$201),IF(AND(G31="",H31=""),"",IF(AND(G31&lt;&gt;"",H31=""),"ERREUR mettre un n° de club","ERREUR mettre un n° de Licence"))))</f>
        <v/>
      </c>
      <c r="J31" s="22"/>
      <c r="K31" s="16" t="str">
        <f t="shared" ca="1" si="0"/>
        <v/>
      </c>
      <c r="L31" s="17" t="str">
        <f t="shared" ca="1" si="1"/>
        <v/>
      </c>
      <c r="M31" s="20"/>
      <c r="N31" s="20"/>
      <c r="O31" s="23"/>
    </row>
    <row r="32" spans="1:15" x14ac:dyDescent="0.25">
      <c r="A32" s="16" t="str">
        <f>IF(H32="","",IF(LOOKUP(H32,Clubs!B$2:C$201)="","",LOOKUP(H32,Clubs!B$2:C$201)))</f>
        <v/>
      </c>
      <c r="B32" s="17">
        <v>28</v>
      </c>
      <c r="C32" s="11" t="s">
        <v>126</v>
      </c>
      <c r="D32" s="27"/>
      <c r="E32" s="19"/>
      <c r="F32" s="19"/>
      <c r="G32" s="20"/>
      <c r="H32" s="21"/>
      <c r="I32" s="18" t="str">
        <f>IF(G32="NL","",IF(AND(G32&lt;&gt;"",H32&lt;&gt;""),LOOKUP(H32,Clubs!B$2:D$201),IF(AND(G32="",H32=""),"",IF(AND(G32&lt;&gt;"",H32=""),"ERREUR mettre un n° de club","ERREUR mettre un n° de Licence"))))</f>
        <v/>
      </c>
      <c r="J32" s="22"/>
      <c r="K32" s="16" t="str">
        <f t="shared" ca="1" si="0"/>
        <v/>
      </c>
      <c r="L32" s="17" t="str">
        <f t="shared" ca="1" si="1"/>
        <v/>
      </c>
      <c r="M32" s="20"/>
      <c r="N32" s="20"/>
      <c r="O32" s="23"/>
    </row>
    <row r="33" spans="1:15" x14ac:dyDescent="0.25">
      <c r="A33" s="16" t="str">
        <f>IF(H33="","",IF(LOOKUP(H33,Clubs!B$2:C$201)="","",LOOKUP(H33,Clubs!B$2:C$201)))</f>
        <v/>
      </c>
      <c r="B33" s="17">
        <v>29</v>
      </c>
      <c r="C33" s="11" t="s">
        <v>126</v>
      </c>
      <c r="D33" s="27"/>
      <c r="E33" s="19"/>
      <c r="F33" s="19"/>
      <c r="G33" s="20"/>
      <c r="H33" s="21"/>
      <c r="I33" s="18" t="str">
        <f>IF(G33="NL","",IF(AND(G33&lt;&gt;"",H33&lt;&gt;""),LOOKUP(H33,Clubs!B$2:D$201),IF(AND(G33="",H33=""),"",IF(AND(G33&lt;&gt;"",H33=""),"ERREUR mettre un n° de club","ERREUR mettre un n° de Licence"))))</f>
        <v/>
      </c>
      <c r="J33" s="22"/>
      <c r="K33" s="16" t="str">
        <f t="shared" ca="1" si="0"/>
        <v/>
      </c>
      <c r="L33" s="17" t="str">
        <f t="shared" ca="1" si="1"/>
        <v/>
      </c>
      <c r="M33" s="20"/>
      <c r="N33" s="20"/>
      <c r="O33" s="23"/>
    </row>
    <row r="34" spans="1:15" x14ac:dyDescent="0.25">
      <c r="A34" s="16" t="str">
        <f>IF(H34="","",IF(LOOKUP(H34,Clubs!B$2:C$201)="","",LOOKUP(H34,Clubs!B$2:C$201)))</f>
        <v/>
      </c>
      <c r="B34" s="17">
        <v>30</v>
      </c>
      <c r="C34" s="11" t="s">
        <v>126</v>
      </c>
      <c r="D34" s="27"/>
      <c r="E34" s="19"/>
      <c r="F34" s="19"/>
      <c r="G34" s="20"/>
      <c r="H34" s="21"/>
      <c r="I34" s="18" t="str">
        <f>IF(G34="NL","",IF(AND(G34&lt;&gt;"",H34&lt;&gt;""),LOOKUP(H34,Clubs!B$2:D$201),IF(AND(G34="",H34=""),"",IF(AND(G34&lt;&gt;"",H34=""),"ERREUR mettre un n° de club","ERREUR mettre un n° de Licence"))))</f>
        <v/>
      </c>
      <c r="J34" s="22"/>
      <c r="K34" s="16" t="str">
        <f t="shared" ca="1" si="0"/>
        <v/>
      </c>
      <c r="L34" s="17" t="str">
        <f t="shared" ca="1" si="1"/>
        <v/>
      </c>
      <c r="M34" s="20"/>
      <c r="N34" s="20"/>
      <c r="O34" s="23"/>
    </row>
    <row r="35" spans="1:15" x14ac:dyDescent="0.25">
      <c r="A35" s="16" t="str">
        <f>IF(H35="","",IF(LOOKUP(H35,Clubs!B$2:C$201)="","",LOOKUP(H35,Clubs!B$2:C$201)))</f>
        <v/>
      </c>
      <c r="B35" s="17">
        <v>31</v>
      </c>
      <c r="C35" s="11" t="s">
        <v>126</v>
      </c>
      <c r="D35" s="27"/>
      <c r="E35" s="19"/>
      <c r="F35" s="19"/>
      <c r="G35" s="20"/>
      <c r="H35" s="21"/>
      <c r="I35" s="18" t="str">
        <f>IF(G35="NL","",IF(AND(G35&lt;&gt;"",H35&lt;&gt;""),LOOKUP(H35,Clubs!B$2:D$201),IF(AND(G35="",H35=""),"",IF(AND(G35&lt;&gt;"",H35=""),"ERREUR mettre un n° de club","ERREUR mettre un n° de Licence"))))</f>
        <v/>
      </c>
      <c r="J35" s="22"/>
      <c r="K35" s="16" t="str">
        <f t="shared" ca="1" si="0"/>
        <v/>
      </c>
      <c r="L35" s="17" t="str">
        <f t="shared" ca="1" si="1"/>
        <v/>
      </c>
      <c r="M35" s="20"/>
      <c r="N35" s="20"/>
      <c r="O35" s="23"/>
    </row>
    <row r="36" spans="1:15" x14ac:dyDescent="0.25">
      <c r="A36" s="16" t="str">
        <f>IF(H36="","",IF(LOOKUP(H36,Clubs!B$2:C$201)="","",LOOKUP(H36,Clubs!B$2:C$201)))</f>
        <v/>
      </c>
      <c r="B36" s="17">
        <v>32</v>
      </c>
      <c r="C36" s="11" t="s">
        <v>126</v>
      </c>
      <c r="D36" s="27"/>
      <c r="E36" s="19"/>
      <c r="F36" s="19"/>
      <c r="G36" s="20"/>
      <c r="H36" s="21"/>
      <c r="I36" s="18" t="str">
        <f>IF(G36="NL","",IF(AND(G36&lt;&gt;"",H36&lt;&gt;""),LOOKUP(H36,Clubs!B$2:D$201),IF(AND(G36="",H36=""),"",IF(AND(G36&lt;&gt;"",H36=""),"ERREUR mettre un n° de club","ERREUR mettre un n° de Licence"))))</f>
        <v/>
      </c>
      <c r="J36" s="22"/>
      <c r="K36" s="16" t="str">
        <f t="shared" ca="1" si="0"/>
        <v/>
      </c>
      <c r="L36" s="17" t="str">
        <f t="shared" ca="1" si="1"/>
        <v/>
      </c>
      <c r="M36" s="20"/>
      <c r="N36" s="20"/>
      <c r="O36" s="23"/>
    </row>
    <row r="37" spans="1:15" x14ac:dyDescent="0.25">
      <c r="A37" s="16" t="str">
        <f>IF(H37="","",IF(LOOKUP(H37,Clubs!B$2:C$201)="","",LOOKUP(H37,Clubs!B$2:C$201)))</f>
        <v/>
      </c>
      <c r="B37" s="17">
        <v>33</v>
      </c>
      <c r="C37" s="11" t="s">
        <v>126</v>
      </c>
      <c r="D37" s="27"/>
      <c r="E37" s="19"/>
      <c r="F37" s="19"/>
      <c r="G37" s="20"/>
      <c r="H37" s="21"/>
      <c r="I37" s="18" t="str">
        <f>IF(G37="NL","",IF(AND(G37&lt;&gt;"",H37&lt;&gt;""),LOOKUP(H37,Clubs!B$2:D$201),IF(AND(G37="",H37=""),"",IF(AND(G37&lt;&gt;"",H37=""),"ERREUR mettre un n° de club","ERREUR mettre un n° de Licence"))))</f>
        <v/>
      </c>
      <c r="J37" s="22"/>
      <c r="K37" s="16" t="str">
        <f t="shared" ca="1" si="0"/>
        <v/>
      </c>
      <c r="L37" s="17" t="str">
        <f t="shared" ca="1" si="1"/>
        <v/>
      </c>
      <c r="M37" s="20"/>
      <c r="N37" s="20"/>
      <c r="O37" s="23"/>
    </row>
    <row r="38" spans="1:15" x14ac:dyDescent="0.25">
      <c r="A38" s="16" t="str">
        <f>IF(H38="","",IF(LOOKUP(H38,Clubs!B$2:C$201)="","",LOOKUP(H38,Clubs!B$2:C$201)))</f>
        <v/>
      </c>
      <c r="B38" s="17">
        <v>34</v>
      </c>
      <c r="C38" s="11" t="s">
        <v>126</v>
      </c>
      <c r="D38" s="27"/>
      <c r="E38" s="19"/>
      <c r="F38" s="19"/>
      <c r="G38" s="20"/>
      <c r="H38" s="21"/>
      <c r="I38" s="18" t="str">
        <f>IF(G38="NL","",IF(AND(G38&lt;&gt;"",H38&lt;&gt;""),LOOKUP(H38,Clubs!B$2:D$201),IF(AND(G38="",H38=""),"",IF(AND(G38&lt;&gt;"",H38=""),"ERREUR mettre un n° de club","ERREUR mettre un n° de Licence"))))</f>
        <v/>
      </c>
      <c r="J38" s="22"/>
      <c r="K38" s="16" t="str">
        <f t="shared" ca="1" si="0"/>
        <v/>
      </c>
      <c r="L38" s="17" t="str">
        <f t="shared" ca="1" si="1"/>
        <v/>
      </c>
      <c r="M38" s="20"/>
      <c r="N38" s="20"/>
      <c r="O38" s="23"/>
    </row>
    <row r="39" spans="1:15" x14ac:dyDescent="0.25">
      <c r="A39" s="16" t="str">
        <f>IF(H39="","",IF(LOOKUP(H39,Clubs!B$2:C$201)="","",LOOKUP(H39,Clubs!B$2:C$201)))</f>
        <v/>
      </c>
      <c r="B39" s="17">
        <v>35</v>
      </c>
      <c r="C39" s="11" t="s">
        <v>126</v>
      </c>
      <c r="D39" s="27"/>
      <c r="E39" s="19"/>
      <c r="F39" s="19"/>
      <c r="G39" s="20"/>
      <c r="H39" s="21"/>
      <c r="I39" s="18" t="str">
        <f>IF(G39="NL","",IF(AND(G39&lt;&gt;"",H39&lt;&gt;""),LOOKUP(H39,Clubs!B$2:D$201),IF(AND(G39="",H39=""),"",IF(AND(G39&lt;&gt;"",H39=""),"ERREUR mettre un n° de club","ERREUR mettre un n° de Licence"))))</f>
        <v/>
      </c>
      <c r="J39" s="22"/>
      <c r="K39" s="16" t="str">
        <f t="shared" ca="1" si="0"/>
        <v/>
      </c>
      <c r="L39" s="17" t="str">
        <f t="shared" ca="1" si="1"/>
        <v/>
      </c>
      <c r="M39" s="20"/>
      <c r="N39" s="20"/>
      <c r="O39" s="23"/>
    </row>
    <row r="40" spans="1:15" x14ac:dyDescent="0.25">
      <c r="A40" s="16" t="str">
        <f>IF(H40="","",IF(LOOKUP(H40,Clubs!B$2:C$201)="","",LOOKUP(H40,Clubs!B$2:C$201)))</f>
        <v/>
      </c>
      <c r="B40" s="17">
        <v>36</v>
      </c>
      <c r="C40" s="11" t="s">
        <v>126</v>
      </c>
      <c r="D40" s="27"/>
      <c r="E40" s="19"/>
      <c r="F40" s="19"/>
      <c r="G40" s="20"/>
      <c r="H40" s="21"/>
      <c r="I40" s="18" t="str">
        <f>IF(G40="NL","",IF(AND(G40&lt;&gt;"",H40&lt;&gt;""),LOOKUP(H40,Clubs!B$2:D$201),IF(AND(G40="",H40=""),"",IF(AND(G40&lt;&gt;"",H40=""),"ERREUR mettre un n° de club","ERREUR mettre un n° de Licence"))))</f>
        <v/>
      </c>
      <c r="J40" s="22"/>
      <c r="K40" s="16" t="str">
        <f t="shared" ca="1" si="0"/>
        <v/>
      </c>
      <c r="L40" s="17" t="str">
        <f t="shared" ca="1" si="1"/>
        <v/>
      </c>
      <c r="M40" s="20"/>
      <c r="N40" s="20"/>
      <c r="O40" s="23"/>
    </row>
    <row r="41" spans="1:15" x14ac:dyDescent="0.25">
      <c r="A41" s="16" t="str">
        <f>IF(H41="","",IF(LOOKUP(H41,Clubs!B$2:C$201)="","",LOOKUP(H41,Clubs!B$2:C$201)))</f>
        <v/>
      </c>
      <c r="B41" s="17">
        <v>37</v>
      </c>
      <c r="C41" s="11" t="s">
        <v>126</v>
      </c>
      <c r="D41" s="27"/>
      <c r="E41" s="19"/>
      <c r="F41" s="19"/>
      <c r="G41" s="20"/>
      <c r="H41" s="21"/>
      <c r="I41" s="18" t="str">
        <f>IF(G41="NL","",IF(AND(G41&lt;&gt;"",H41&lt;&gt;""),LOOKUP(H41,Clubs!B$2:D$201),IF(AND(G41="",H41=""),"",IF(AND(G41&lt;&gt;"",H41=""),"ERREUR mettre un n° de club","ERREUR mettre un n° de Licence"))))</f>
        <v/>
      </c>
      <c r="J41" s="22"/>
      <c r="K41" s="16" t="str">
        <f t="shared" ca="1" si="0"/>
        <v/>
      </c>
      <c r="L41" s="17" t="str">
        <f t="shared" ca="1" si="1"/>
        <v/>
      </c>
      <c r="M41" s="20"/>
      <c r="N41" s="20"/>
      <c r="O41" s="23"/>
    </row>
    <row r="42" spans="1:15" x14ac:dyDescent="0.25">
      <c r="A42" s="16" t="str">
        <f>IF(H42="","",IF(LOOKUP(H42,Clubs!B$2:C$201)="","",LOOKUP(H42,Clubs!B$2:C$201)))</f>
        <v/>
      </c>
      <c r="B42" s="17">
        <v>38</v>
      </c>
      <c r="C42" s="11" t="s">
        <v>126</v>
      </c>
      <c r="D42" s="27"/>
      <c r="E42" s="19"/>
      <c r="F42" s="19"/>
      <c r="G42" s="20"/>
      <c r="H42" s="21"/>
      <c r="I42" s="18" t="str">
        <f>IF(G42="NL","",IF(AND(G42&lt;&gt;"",H42&lt;&gt;""),LOOKUP(H42,Clubs!B$2:D$201),IF(AND(G42="",H42=""),"",IF(AND(G42&lt;&gt;"",H42=""),"ERREUR mettre un n° de club","ERREUR mettre un n° de Licence"))))</f>
        <v/>
      </c>
      <c r="J42" s="22"/>
      <c r="K42" s="16" t="str">
        <f t="shared" ca="1" si="0"/>
        <v/>
      </c>
      <c r="L42" s="17" t="str">
        <f t="shared" ca="1" si="1"/>
        <v/>
      </c>
      <c r="M42" s="20"/>
      <c r="N42" s="20"/>
      <c r="O42" s="23"/>
    </row>
    <row r="43" spans="1:15" x14ac:dyDescent="0.25">
      <c r="A43" s="16" t="str">
        <f>IF(H43="","",IF(LOOKUP(H43,Clubs!B$2:C$201)="","",LOOKUP(H43,Clubs!B$2:C$201)))</f>
        <v/>
      </c>
      <c r="B43" s="17">
        <v>39</v>
      </c>
      <c r="C43" s="11" t="s">
        <v>126</v>
      </c>
      <c r="D43" s="27"/>
      <c r="E43" s="19"/>
      <c r="F43" s="19"/>
      <c r="G43" s="20"/>
      <c r="H43" s="21"/>
      <c r="I43" s="18" t="str">
        <f>IF(G43="NL","",IF(AND(G43&lt;&gt;"",H43&lt;&gt;""),LOOKUP(H43,Clubs!B$2:D$201),IF(AND(G43="",H43=""),"",IF(AND(G43&lt;&gt;"",H43=""),"ERREUR mettre un n° de club","ERREUR mettre un n° de Licence"))))</f>
        <v/>
      </c>
      <c r="J43" s="22"/>
      <c r="K43" s="16" t="str">
        <f t="shared" ca="1" si="0"/>
        <v/>
      </c>
      <c r="L43" s="17" t="str">
        <f t="shared" ca="1" si="1"/>
        <v/>
      </c>
      <c r="M43" s="20"/>
      <c r="N43" s="20"/>
      <c r="O43" s="23"/>
    </row>
    <row r="44" spans="1:15" x14ac:dyDescent="0.25">
      <c r="A44" s="16" t="str">
        <f>IF(H44="","",IF(LOOKUP(H44,Clubs!B$2:C$201)="","",LOOKUP(H44,Clubs!B$2:C$201)))</f>
        <v/>
      </c>
      <c r="B44" s="17">
        <v>40</v>
      </c>
      <c r="C44" s="11" t="s">
        <v>126</v>
      </c>
      <c r="D44" s="27"/>
      <c r="E44" s="19"/>
      <c r="F44" s="19"/>
      <c r="G44" s="20"/>
      <c r="H44" s="21"/>
      <c r="I44" s="18" t="str">
        <f>IF(G44="NL","",IF(AND(G44&lt;&gt;"",H44&lt;&gt;""),LOOKUP(H44,Clubs!B$2:D$201),IF(AND(G44="",H44=""),"",IF(AND(G44&lt;&gt;"",H44=""),"ERREUR mettre un n° de club","ERREUR mettre un n° de Licence"))))</f>
        <v/>
      </c>
      <c r="J44" s="22"/>
      <c r="K44" s="16" t="str">
        <f t="shared" ca="1" si="0"/>
        <v/>
      </c>
      <c r="L44" s="17" t="str">
        <f t="shared" ca="1" si="1"/>
        <v/>
      </c>
      <c r="M44" s="20"/>
      <c r="N44" s="20"/>
      <c r="O44" s="23"/>
    </row>
    <row r="45" spans="1:15" x14ac:dyDescent="0.25">
      <c r="A45" s="16" t="str">
        <f>IF(H45="","",IF(LOOKUP(H45,Clubs!B$2:C$201)="","",LOOKUP(H45,Clubs!B$2:C$201)))</f>
        <v/>
      </c>
      <c r="B45" s="17">
        <v>41</v>
      </c>
      <c r="C45" s="11" t="s">
        <v>126</v>
      </c>
      <c r="D45" s="27"/>
      <c r="E45" s="19"/>
      <c r="F45" s="19"/>
      <c r="G45" s="20"/>
      <c r="H45" s="21"/>
      <c r="I45" s="18" t="str">
        <f>IF(G45="NL","",IF(AND(G45&lt;&gt;"",H45&lt;&gt;""),LOOKUP(H45,Clubs!B$2:D$201),IF(AND(G45="",H45=""),"",IF(AND(G45&lt;&gt;"",H45=""),"ERREUR mettre un n° de club","ERREUR mettre un n° de Licence"))))</f>
        <v/>
      </c>
      <c r="J45" s="22"/>
      <c r="K45" s="16" t="str">
        <f t="shared" ca="1" si="0"/>
        <v/>
      </c>
      <c r="L45" s="17" t="str">
        <f t="shared" ca="1" si="1"/>
        <v/>
      </c>
      <c r="M45" s="20"/>
      <c r="N45" s="20"/>
      <c r="O45" s="23"/>
    </row>
    <row r="46" spans="1:15" x14ac:dyDescent="0.25">
      <c r="A46" s="16" t="str">
        <f>IF(H46="","",IF(LOOKUP(H46,Clubs!B$2:C$201)="","",LOOKUP(H46,Clubs!B$2:C$201)))</f>
        <v/>
      </c>
      <c r="B46" s="17">
        <v>42</v>
      </c>
      <c r="C46" s="11" t="s">
        <v>126</v>
      </c>
      <c r="D46" s="27"/>
      <c r="E46" s="19"/>
      <c r="F46" s="19"/>
      <c r="G46" s="20"/>
      <c r="H46" s="21"/>
      <c r="I46" s="18" t="str">
        <f>IF(G46="NL","",IF(AND(G46&lt;&gt;"",H46&lt;&gt;""),LOOKUP(H46,Clubs!B$2:D$201),IF(AND(G46="",H46=""),"",IF(AND(G46&lt;&gt;"",H46=""),"ERREUR mettre un n° de club","ERREUR mettre un n° de Licence"))))</f>
        <v/>
      </c>
      <c r="J46" s="22"/>
      <c r="K46" s="16" t="str">
        <f t="shared" ca="1" si="0"/>
        <v/>
      </c>
      <c r="L46" s="17" t="str">
        <f t="shared" ca="1" si="1"/>
        <v/>
      </c>
      <c r="M46" s="20"/>
      <c r="N46" s="20"/>
      <c r="O46" s="23"/>
    </row>
    <row r="47" spans="1:15" x14ac:dyDescent="0.25">
      <c r="A47" s="16" t="str">
        <f>IF(H47="","",IF(LOOKUP(H47,Clubs!B$2:C$201)="","",LOOKUP(H47,Clubs!B$2:C$201)))</f>
        <v/>
      </c>
      <c r="B47" s="17">
        <v>43</v>
      </c>
      <c r="C47" s="11" t="s">
        <v>126</v>
      </c>
      <c r="D47" s="27"/>
      <c r="E47" s="19"/>
      <c r="F47" s="19"/>
      <c r="G47" s="20"/>
      <c r="H47" s="21"/>
      <c r="I47" s="18" t="str">
        <f>IF(G47="NL","",IF(AND(G47&lt;&gt;"",H47&lt;&gt;""),LOOKUP(H47,Clubs!B$2:D$201),IF(AND(G47="",H47=""),"",IF(AND(G47&lt;&gt;"",H47=""),"ERREUR mettre un n° de club","ERREUR mettre un n° de Licence"))))</f>
        <v/>
      </c>
      <c r="J47" s="22"/>
      <c r="K47" s="16" t="str">
        <f t="shared" ca="1" si="0"/>
        <v/>
      </c>
      <c r="L47" s="17" t="str">
        <f t="shared" ca="1" si="1"/>
        <v/>
      </c>
      <c r="M47" s="20"/>
      <c r="N47" s="20"/>
      <c r="O47" s="23"/>
    </row>
    <row r="48" spans="1:15" x14ac:dyDescent="0.25">
      <c r="A48" s="16" t="str">
        <f>IF(H48="","",IF(LOOKUP(H48,Clubs!B$2:C$201)="","",LOOKUP(H48,Clubs!B$2:C$201)))</f>
        <v/>
      </c>
      <c r="B48" s="17">
        <v>44</v>
      </c>
      <c r="C48" s="11" t="s">
        <v>126</v>
      </c>
      <c r="D48" s="27"/>
      <c r="E48" s="19"/>
      <c r="F48" s="19"/>
      <c r="G48" s="20"/>
      <c r="H48" s="21"/>
      <c r="I48" s="18" t="str">
        <f>IF(G48="NL","",IF(AND(G48&lt;&gt;"",H48&lt;&gt;""),LOOKUP(H48,Clubs!B$2:D$201),IF(AND(G48="",H48=""),"",IF(AND(G48&lt;&gt;"",H48=""),"ERREUR mettre un n° de club","ERREUR mettre un n° de Licence"))))</f>
        <v/>
      </c>
      <c r="J48" s="22"/>
      <c r="K48" s="16" t="str">
        <f t="shared" ca="1" si="0"/>
        <v/>
      </c>
      <c r="L48" s="17" t="str">
        <f t="shared" ca="1" si="1"/>
        <v/>
      </c>
      <c r="M48" s="20"/>
      <c r="N48" s="20"/>
      <c r="O48" s="23"/>
    </row>
    <row r="49" spans="1:15" x14ac:dyDescent="0.25">
      <c r="A49" s="16" t="str">
        <f>IF(H49="","",IF(LOOKUP(H49,Clubs!B$2:C$201)="","",LOOKUP(H49,Clubs!B$2:C$201)))</f>
        <v/>
      </c>
      <c r="B49" s="17">
        <v>45</v>
      </c>
      <c r="C49" s="11" t="s">
        <v>126</v>
      </c>
      <c r="D49" s="27"/>
      <c r="E49" s="19"/>
      <c r="F49" s="19"/>
      <c r="G49" s="20"/>
      <c r="H49" s="21"/>
      <c r="I49" s="18" t="str">
        <f>IF(G49="NL","",IF(AND(G49&lt;&gt;"",H49&lt;&gt;""),LOOKUP(H49,Clubs!B$2:D$201),IF(AND(G49="",H49=""),"",IF(AND(G49&lt;&gt;"",H49=""),"ERREUR mettre un n° de club","ERREUR mettre un n° de Licence"))))</f>
        <v/>
      </c>
      <c r="J49" s="22"/>
      <c r="K49" s="16" t="str">
        <f t="shared" ca="1" si="0"/>
        <v/>
      </c>
      <c r="L49" s="17" t="str">
        <f t="shared" ca="1" si="1"/>
        <v/>
      </c>
      <c r="M49" s="20"/>
      <c r="N49" s="20"/>
      <c r="O49" s="23"/>
    </row>
    <row r="50" spans="1:15" x14ac:dyDescent="0.25">
      <c r="A50" s="16" t="str">
        <f>IF(H50="","",IF(LOOKUP(H50,Clubs!B$2:C$201)="","",LOOKUP(H50,Clubs!B$2:C$201)))</f>
        <v/>
      </c>
      <c r="B50" s="17">
        <v>46</v>
      </c>
      <c r="C50" s="11" t="s">
        <v>126</v>
      </c>
      <c r="D50" s="27"/>
      <c r="E50" s="19"/>
      <c r="F50" s="19"/>
      <c r="G50" s="20"/>
      <c r="H50" s="21"/>
      <c r="I50" s="18" t="str">
        <f>IF(G50="NL","",IF(AND(G50&lt;&gt;"",H50&lt;&gt;""),LOOKUP(H50,Clubs!B$2:D$201),IF(AND(G50="",H50=""),"",IF(AND(G50&lt;&gt;"",H50=""),"ERREUR mettre un n° de club","ERREUR mettre un n° de Licence"))))</f>
        <v/>
      </c>
      <c r="J50" s="22"/>
      <c r="K50" s="16" t="str">
        <f t="shared" ca="1" si="0"/>
        <v/>
      </c>
      <c r="L50" s="17" t="str">
        <f t="shared" ca="1" si="1"/>
        <v/>
      </c>
      <c r="M50" s="20"/>
      <c r="N50" s="20"/>
      <c r="O50" s="23"/>
    </row>
    <row r="51" spans="1:15" x14ac:dyDescent="0.25">
      <c r="A51" s="16" t="str">
        <f>IF(H51="","",IF(LOOKUP(H51,Clubs!B$2:C$201)="","",LOOKUP(H51,Clubs!B$2:C$201)))</f>
        <v/>
      </c>
      <c r="B51" s="17">
        <v>47</v>
      </c>
      <c r="C51" s="11" t="s">
        <v>126</v>
      </c>
      <c r="D51" s="27"/>
      <c r="E51" s="19"/>
      <c r="F51" s="19"/>
      <c r="G51" s="20"/>
      <c r="H51" s="21"/>
      <c r="I51" s="18" t="str">
        <f>IF(G51="NL","",IF(AND(G51&lt;&gt;"",H51&lt;&gt;""),LOOKUP(H51,Clubs!B$2:D$201),IF(AND(G51="",H51=""),"",IF(AND(G51&lt;&gt;"",H51=""),"ERREUR mettre un n° de club","ERREUR mettre un n° de Licence"))))</f>
        <v/>
      </c>
      <c r="J51" s="22"/>
      <c r="K51" s="16" t="str">
        <f t="shared" ca="1" si="0"/>
        <v/>
      </c>
      <c r="L51" s="17" t="str">
        <f t="shared" ca="1" si="1"/>
        <v/>
      </c>
      <c r="M51" s="20"/>
      <c r="N51" s="20"/>
      <c r="O51" s="23"/>
    </row>
    <row r="52" spans="1:15" x14ac:dyDescent="0.25">
      <c r="A52" s="16" t="str">
        <f>IF(H52="","",IF(LOOKUP(H52,Clubs!B$2:C$201)="","",LOOKUP(H52,Clubs!B$2:C$201)))</f>
        <v/>
      </c>
      <c r="B52" s="17">
        <v>48</v>
      </c>
      <c r="C52" s="11" t="s">
        <v>126</v>
      </c>
      <c r="D52" s="27"/>
      <c r="E52" s="19"/>
      <c r="F52" s="19"/>
      <c r="G52" s="20"/>
      <c r="H52" s="21"/>
      <c r="I52" s="18" t="str">
        <f>IF(G52="NL","",IF(AND(G52&lt;&gt;"",H52&lt;&gt;""),LOOKUP(H52,Clubs!B$2:D$201),IF(AND(G52="",H52=""),"",IF(AND(G52&lt;&gt;"",H52=""),"ERREUR mettre un n° de club","ERREUR mettre un n° de Licence"))))</f>
        <v/>
      </c>
      <c r="J52" s="22"/>
      <c r="K52" s="16" t="str">
        <f t="shared" ca="1" si="0"/>
        <v/>
      </c>
      <c r="L52" s="17" t="str">
        <f t="shared" ca="1" si="1"/>
        <v/>
      </c>
      <c r="M52" s="20"/>
      <c r="N52" s="20"/>
      <c r="O52" s="23"/>
    </row>
    <row r="53" spans="1:15" x14ac:dyDescent="0.25">
      <c r="A53" s="16" t="str">
        <f>IF(H53="","",IF(LOOKUP(H53,Clubs!B$2:C$201)="","",LOOKUP(H53,Clubs!B$2:C$201)))</f>
        <v/>
      </c>
      <c r="B53" s="17">
        <v>49</v>
      </c>
      <c r="C53" s="11" t="s">
        <v>126</v>
      </c>
      <c r="D53" s="27"/>
      <c r="E53" s="19"/>
      <c r="F53" s="19"/>
      <c r="G53" s="20"/>
      <c r="H53" s="21"/>
      <c r="I53" s="18" t="str">
        <f>IF(G53="NL","",IF(AND(G53&lt;&gt;"",H53&lt;&gt;""),LOOKUP(H53,Clubs!B$2:D$201),IF(AND(G53="",H53=""),"",IF(AND(G53&lt;&gt;"",H53=""),"ERREUR mettre un n° de club","ERREUR mettre un n° de Licence"))))</f>
        <v/>
      </c>
      <c r="J53" s="22"/>
      <c r="K53" s="16" t="str">
        <f t="shared" ca="1" si="0"/>
        <v/>
      </c>
      <c r="L53" s="17" t="str">
        <f t="shared" ca="1" si="1"/>
        <v/>
      </c>
      <c r="M53" s="20"/>
      <c r="N53" s="20"/>
      <c r="O53" s="23"/>
    </row>
    <row r="54" spans="1:15" x14ac:dyDescent="0.25">
      <c r="A54" s="16" t="str">
        <f>IF(H54="","",IF(LOOKUP(H54,Clubs!B$2:C$201)="","",LOOKUP(H54,Clubs!B$2:C$201)))</f>
        <v/>
      </c>
      <c r="B54" s="17">
        <v>50</v>
      </c>
      <c r="C54" s="11" t="s">
        <v>126</v>
      </c>
      <c r="D54" s="27"/>
      <c r="E54" s="19"/>
      <c r="F54" s="19"/>
      <c r="G54" s="20"/>
      <c r="H54" s="21"/>
      <c r="I54" s="18" t="str">
        <f>IF(G54="NL","",IF(AND(G54&lt;&gt;"",H54&lt;&gt;""),LOOKUP(H54,Clubs!B$2:D$201),IF(AND(G54="",H54=""),"",IF(AND(G54&lt;&gt;"",H54=""),"ERREUR mettre un n° de club","ERREUR mettre un n° de Licence"))))</f>
        <v/>
      </c>
      <c r="J54" s="22"/>
      <c r="K54" s="16" t="str">
        <f t="shared" ca="1" si="0"/>
        <v/>
      </c>
      <c r="L54" s="17" t="str">
        <f t="shared" ca="1" si="1"/>
        <v/>
      </c>
      <c r="M54" s="20"/>
      <c r="N54" s="20"/>
      <c r="O54" s="23"/>
    </row>
    <row r="55" spans="1:15" x14ac:dyDescent="0.25">
      <c r="A55" s="16" t="str">
        <f>IF(H55="","",IF(LOOKUP(H55,Clubs!B$2:C$201)="","",LOOKUP(H55,Clubs!B$2:C$201)))</f>
        <v/>
      </c>
      <c r="B55" s="17">
        <v>51</v>
      </c>
      <c r="C55" s="11" t="s">
        <v>126</v>
      </c>
      <c r="D55" s="27"/>
      <c r="E55" s="19"/>
      <c r="F55" s="19"/>
      <c r="G55" s="20"/>
      <c r="H55" s="21"/>
      <c r="I55" s="18" t="str">
        <f>IF(G55="NL","",IF(AND(G55&lt;&gt;"",H55&lt;&gt;""),LOOKUP(H55,Clubs!B$2:D$201),IF(AND(G55="",H55=""),"",IF(AND(G55&lt;&gt;"",H55=""),"ERREUR mettre un n° de club","ERREUR mettre un n° de Licence"))))</f>
        <v/>
      </c>
      <c r="J55" s="22"/>
      <c r="K55" s="16" t="str">
        <f t="shared" ca="1" si="0"/>
        <v/>
      </c>
      <c r="L55" s="17" t="str">
        <f t="shared" ca="1" si="1"/>
        <v/>
      </c>
      <c r="M55" s="20"/>
      <c r="N55" s="20"/>
      <c r="O55" s="23"/>
    </row>
    <row r="56" spans="1:15" x14ac:dyDescent="0.25">
      <c r="A56" s="16" t="str">
        <f>IF(H56="","",IF(LOOKUP(H56,Clubs!B$2:C$201)="","",LOOKUP(H56,Clubs!B$2:C$201)))</f>
        <v/>
      </c>
      <c r="B56" s="17">
        <v>52</v>
      </c>
      <c r="C56" s="11" t="s">
        <v>126</v>
      </c>
      <c r="D56" s="27"/>
      <c r="E56" s="19"/>
      <c r="F56" s="19"/>
      <c r="G56" s="20"/>
      <c r="H56" s="21"/>
      <c r="I56" s="18" t="str">
        <f>IF(G56="NL","",IF(AND(G56&lt;&gt;"",H56&lt;&gt;""),LOOKUP(H56,Clubs!B$2:D$201),IF(AND(G56="",H56=""),"",IF(AND(G56&lt;&gt;"",H56=""),"ERREUR mettre un n° de club","ERREUR mettre un n° de Licence"))))</f>
        <v/>
      </c>
      <c r="J56" s="22"/>
      <c r="K56" s="16" t="str">
        <f t="shared" ca="1" si="0"/>
        <v/>
      </c>
      <c r="L56" s="17" t="str">
        <f t="shared" ca="1" si="1"/>
        <v/>
      </c>
      <c r="M56" s="20"/>
      <c r="N56" s="20"/>
      <c r="O56" s="23"/>
    </row>
    <row r="57" spans="1:15" x14ac:dyDescent="0.25">
      <c r="A57" s="16" t="str">
        <f>IF(H57="","",IF(LOOKUP(H57,Clubs!B$2:C$201)="","",LOOKUP(H57,Clubs!B$2:C$201)))</f>
        <v/>
      </c>
      <c r="B57" s="17">
        <v>53</v>
      </c>
      <c r="C57" s="11" t="s">
        <v>126</v>
      </c>
      <c r="D57" s="27"/>
      <c r="E57" s="19"/>
      <c r="F57" s="19"/>
      <c r="G57" s="20"/>
      <c r="H57" s="21"/>
      <c r="I57" s="18" t="str">
        <f>IF(G57="NL","",IF(AND(G57&lt;&gt;"",H57&lt;&gt;""),LOOKUP(H57,Clubs!B$2:D$201),IF(AND(G57="",H57=""),"",IF(AND(G57&lt;&gt;"",H57=""),"ERREUR mettre un n° de club","ERREUR mettre un n° de Licence"))))</f>
        <v/>
      </c>
      <c r="J57" s="22"/>
      <c r="K57" s="16" t="str">
        <f t="shared" ca="1" si="0"/>
        <v/>
      </c>
      <c r="L57" s="17" t="str">
        <f t="shared" ca="1" si="1"/>
        <v/>
      </c>
      <c r="M57" s="20"/>
      <c r="N57" s="20"/>
      <c r="O57" s="23"/>
    </row>
    <row r="58" spans="1:15" x14ac:dyDescent="0.25">
      <c r="A58" s="16" t="str">
        <f>IF(H58="","",IF(LOOKUP(H58,Clubs!B$2:C$201)="","",LOOKUP(H58,Clubs!B$2:C$201)))</f>
        <v/>
      </c>
      <c r="B58" s="17">
        <v>54</v>
      </c>
      <c r="C58" s="11" t="s">
        <v>126</v>
      </c>
      <c r="D58" s="27"/>
      <c r="E58" s="19"/>
      <c r="F58" s="19"/>
      <c r="G58" s="20"/>
      <c r="H58" s="21"/>
      <c r="I58" s="18" t="str">
        <f>IF(G58="NL","",IF(AND(G58&lt;&gt;"",H58&lt;&gt;""),LOOKUP(H58,Clubs!B$2:D$201),IF(AND(G58="",H58=""),"",IF(AND(G58&lt;&gt;"",H58=""),"ERREUR mettre un n° de club","ERREUR mettre un n° de Licence"))))</f>
        <v/>
      </c>
      <c r="J58" s="22"/>
      <c r="K58" s="16" t="str">
        <f t="shared" ca="1" si="0"/>
        <v/>
      </c>
      <c r="L58" s="17" t="str">
        <f t="shared" ca="1" si="1"/>
        <v/>
      </c>
      <c r="M58" s="20"/>
      <c r="N58" s="20"/>
      <c r="O58" s="23"/>
    </row>
    <row r="59" spans="1:15" x14ac:dyDescent="0.25">
      <c r="A59" s="16" t="str">
        <f>IF(H59="","",IF(LOOKUP(H59,Clubs!B$2:C$201)="","",LOOKUP(H59,Clubs!B$2:C$201)))</f>
        <v/>
      </c>
      <c r="B59" s="17">
        <v>55</v>
      </c>
      <c r="C59" s="11" t="s">
        <v>126</v>
      </c>
      <c r="D59" s="27"/>
      <c r="E59" s="19"/>
      <c r="F59" s="19"/>
      <c r="G59" s="20"/>
      <c r="H59" s="21"/>
      <c r="I59" s="18" t="str">
        <f>IF(G59="NL","",IF(AND(G59&lt;&gt;"",H59&lt;&gt;""),LOOKUP(H59,Clubs!B$2:D$201),IF(AND(G59="",H59=""),"",IF(AND(G59&lt;&gt;"",H59=""),"ERREUR mettre un n° de club","ERREUR mettre un n° de Licence"))))</f>
        <v/>
      </c>
      <c r="J59" s="22"/>
      <c r="K59" s="16" t="str">
        <f t="shared" ca="1" si="0"/>
        <v/>
      </c>
      <c r="L59" s="17" t="str">
        <f t="shared" ca="1" si="1"/>
        <v/>
      </c>
      <c r="M59" s="20"/>
      <c r="N59" s="20"/>
      <c r="O59" s="23"/>
    </row>
    <row r="60" spans="1:15" x14ac:dyDescent="0.25">
      <c r="A60" s="16" t="str">
        <f>IF(H60="","",IF(LOOKUP(H60,Clubs!B$2:C$201)="","",LOOKUP(H60,Clubs!B$2:C$201)))</f>
        <v/>
      </c>
      <c r="B60" s="17">
        <v>56</v>
      </c>
      <c r="C60" s="11" t="s">
        <v>126</v>
      </c>
      <c r="D60" s="27"/>
      <c r="E60" s="19"/>
      <c r="F60" s="19"/>
      <c r="G60" s="20"/>
      <c r="H60" s="21"/>
      <c r="I60" s="18" t="str">
        <f>IF(G60="NL","",IF(AND(G60&lt;&gt;"",H60&lt;&gt;""),LOOKUP(H60,Clubs!B$2:D$201),IF(AND(G60="",H60=""),"",IF(AND(G60&lt;&gt;"",H60=""),"ERREUR mettre un n° de club","ERREUR mettre un n° de Licence"))))</f>
        <v/>
      </c>
      <c r="J60" s="22"/>
      <c r="K60" s="16" t="str">
        <f t="shared" ca="1" si="0"/>
        <v/>
      </c>
      <c r="L60" s="17" t="str">
        <f t="shared" ca="1" si="1"/>
        <v/>
      </c>
      <c r="M60" s="20"/>
      <c r="N60" s="20"/>
      <c r="O60" s="23"/>
    </row>
    <row r="61" spans="1:15" x14ac:dyDescent="0.25">
      <c r="A61" s="16" t="str">
        <f>IF(H61="","",IF(LOOKUP(H61,Clubs!B$2:C$201)="","",LOOKUP(H61,Clubs!B$2:C$201)))</f>
        <v/>
      </c>
      <c r="B61" s="17">
        <v>57</v>
      </c>
      <c r="C61" s="11" t="s">
        <v>126</v>
      </c>
      <c r="D61" s="27"/>
      <c r="E61" s="19"/>
      <c r="F61" s="19"/>
      <c r="G61" s="20"/>
      <c r="H61" s="21"/>
      <c r="I61" s="18" t="str">
        <f>IF(G61="NL","",IF(AND(G61&lt;&gt;"",H61&lt;&gt;""),LOOKUP(H61,Clubs!B$2:D$201),IF(AND(G61="",H61=""),"",IF(AND(G61&lt;&gt;"",H61=""),"ERREUR mettre un n° de club","ERREUR mettre un n° de Licence"))))</f>
        <v/>
      </c>
      <c r="J61" s="22"/>
      <c r="K61" s="16" t="str">
        <f t="shared" ca="1" si="0"/>
        <v/>
      </c>
      <c r="L61" s="17" t="str">
        <f t="shared" ca="1" si="1"/>
        <v/>
      </c>
      <c r="M61" s="20"/>
      <c r="N61" s="20"/>
      <c r="O61" s="23"/>
    </row>
    <row r="62" spans="1:15" x14ac:dyDescent="0.25">
      <c r="A62" s="16" t="str">
        <f>IF(H62="","",IF(LOOKUP(H62,Clubs!B$2:C$201)="","",LOOKUP(H62,Clubs!B$2:C$201)))</f>
        <v/>
      </c>
      <c r="B62" s="17">
        <v>58</v>
      </c>
      <c r="C62" s="11" t="s">
        <v>126</v>
      </c>
      <c r="D62" s="27"/>
      <c r="E62" s="19"/>
      <c r="F62" s="19"/>
      <c r="G62" s="20"/>
      <c r="H62" s="21"/>
      <c r="I62" s="18" t="str">
        <f>IF(G62="NL","",IF(AND(G62&lt;&gt;"",H62&lt;&gt;""),LOOKUP(H62,Clubs!B$2:D$201),IF(AND(G62="",H62=""),"",IF(AND(G62&lt;&gt;"",H62=""),"ERREUR mettre un n° de club","ERREUR mettre un n° de Licence"))))</f>
        <v/>
      </c>
      <c r="J62" s="22"/>
      <c r="K62" s="16" t="str">
        <f t="shared" ca="1" si="0"/>
        <v/>
      </c>
      <c r="L62" s="17" t="str">
        <f t="shared" ca="1" si="1"/>
        <v/>
      </c>
      <c r="M62" s="20"/>
      <c r="N62" s="20"/>
      <c r="O62" s="23"/>
    </row>
    <row r="63" spans="1:15" x14ac:dyDescent="0.25">
      <c r="A63" s="16" t="str">
        <f>IF(H63="","",IF(LOOKUP(H63,Clubs!B$2:C$201)="","",LOOKUP(H63,Clubs!B$2:C$201)))</f>
        <v/>
      </c>
      <c r="B63" s="17">
        <v>59</v>
      </c>
      <c r="C63" s="11" t="s">
        <v>126</v>
      </c>
      <c r="D63" s="27"/>
      <c r="E63" s="19"/>
      <c r="F63" s="19"/>
      <c r="G63" s="20"/>
      <c r="H63" s="21"/>
      <c r="I63" s="18" t="str">
        <f>IF(G63="NL","",IF(AND(G63&lt;&gt;"",H63&lt;&gt;""),LOOKUP(H63,Clubs!B$2:D$201),IF(AND(G63="",H63=""),"",IF(AND(G63&lt;&gt;"",H63=""),"ERREUR mettre un n° de club","ERREUR mettre un n° de Licence"))))</f>
        <v/>
      </c>
      <c r="J63" s="22"/>
      <c r="K63" s="16" t="str">
        <f t="shared" ca="1" si="0"/>
        <v/>
      </c>
      <c r="L63" s="17" t="str">
        <f t="shared" ca="1" si="1"/>
        <v/>
      </c>
      <c r="M63" s="20"/>
      <c r="N63" s="20"/>
      <c r="O63" s="23"/>
    </row>
    <row r="64" spans="1:15" x14ac:dyDescent="0.25">
      <c r="A64" s="16" t="str">
        <f>IF(H64="","",IF(LOOKUP(H64,Clubs!B$2:C$201)="","",LOOKUP(H64,Clubs!B$2:C$201)))</f>
        <v/>
      </c>
      <c r="B64" s="17">
        <v>60</v>
      </c>
      <c r="C64" s="11" t="s">
        <v>126</v>
      </c>
      <c r="D64" s="27"/>
      <c r="E64" s="19"/>
      <c r="F64" s="19"/>
      <c r="G64" s="20"/>
      <c r="H64" s="21"/>
      <c r="I64" s="18" t="str">
        <f>IF(G64="NL","",IF(AND(G64&lt;&gt;"",H64&lt;&gt;""),LOOKUP(H64,Clubs!B$2:D$201),IF(AND(G64="",H64=""),"",IF(AND(G64&lt;&gt;"",H64=""),"ERREUR mettre un n° de club","ERREUR mettre un n° de Licence"))))</f>
        <v/>
      </c>
      <c r="J64" s="22"/>
      <c r="K64" s="16" t="str">
        <f t="shared" ca="1" si="0"/>
        <v/>
      </c>
      <c r="L64" s="17" t="str">
        <f t="shared" ca="1" si="1"/>
        <v/>
      </c>
      <c r="M64" s="20"/>
      <c r="N64" s="20"/>
      <c r="O64" s="23"/>
    </row>
    <row r="65" spans="1:15" x14ac:dyDescent="0.25">
      <c r="A65" s="16" t="str">
        <f>IF(H65="","",IF(LOOKUP(H65,Clubs!B$2:C$201)="","",LOOKUP(H65,Clubs!B$2:C$201)))</f>
        <v/>
      </c>
      <c r="B65" s="17">
        <v>61</v>
      </c>
      <c r="C65" s="11" t="s">
        <v>126</v>
      </c>
      <c r="D65" s="27"/>
      <c r="E65" s="19"/>
      <c r="F65" s="19"/>
      <c r="G65" s="20"/>
      <c r="H65" s="21"/>
      <c r="I65" s="18" t="str">
        <f>IF(G65="NL","",IF(AND(G65&lt;&gt;"",H65&lt;&gt;""),LOOKUP(H65,Clubs!B$2:D$201),IF(AND(G65="",H65=""),"",IF(AND(G65&lt;&gt;"",H65=""),"ERREUR mettre un n° de club","ERREUR mettre un n° de Licence"))))</f>
        <v/>
      </c>
      <c r="J65" s="22"/>
      <c r="K65" s="16" t="str">
        <f t="shared" ca="1" si="0"/>
        <v/>
      </c>
      <c r="L65" s="17" t="str">
        <f t="shared" ca="1" si="1"/>
        <v/>
      </c>
      <c r="M65" s="20"/>
      <c r="N65" s="20"/>
      <c r="O65" s="23"/>
    </row>
    <row r="66" spans="1:15" x14ac:dyDescent="0.25">
      <c r="A66" s="16" t="str">
        <f>IF(H66="","",IF(LOOKUP(H66,Clubs!B$2:C$201)="","",LOOKUP(H66,Clubs!B$2:C$201)))</f>
        <v/>
      </c>
      <c r="B66" s="17">
        <v>62</v>
      </c>
      <c r="C66" s="11" t="s">
        <v>126</v>
      </c>
      <c r="D66" s="27"/>
      <c r="E66" s="19"/>
      <c r="F66" s="19"/>
      <c r="G66" s="20"/>
      <c r="H66" s="21"/>
      <c r="I66" s="18" t="str">
        <f>IF(G66="NL","",IF(AND(G66&lt;&gt;"",H66&lt;&gt;""),LOOKUP(H66,Clubs!B$2:D$201),IF(AND(G66="",H66=""),"",IF(AND(G66&lt;&gt;"",H66=""),"ERREUR mettre un n° de club","ERREUR mettre un n° de Licence"))))</f>
        <v/>
      </c>
      <c r="J66" s="22"/>
      <c r="K66" s="16" t="str">
        <f t="shared" ca="1" si="0"/>
        <v/>
      </c>
      <c r="L66" s="17" t="str">
        <f t="shared" ca="1" si="1"/>
        <v/>
      </c>
      <c r="M66" s="20"/>
      <c r="N66" s="20"/>
      <c r="O66" s="23"/>
    </row>
    <row r="67" spans="1:15" x14ac:dyDescent="0.25">
      <c r="A67" s="16" t="str">
        <f>IF(H67="","",IF(LOOKUP(H67,Clubs!B$2:C$201)="","",LOOKUP(H67,Clubs!B$2:C$201)))</f>
        <v/>
      </c>
      <c r="B67" s="17">
        <v>63</v>
      </c>
      <c r="C67" s="11" t="s">
        <v>126</v>
      </c>
      <c r="D67" s="27"/>
      <c r="E67" s="19"/>
      <c r="F67" s="19"/>
      <c r="G67" s="20"/>
      <c r="H67" s="21"/>
      <c r="I67" s="18" t="str">
        <f>IF(G67="NL","",IF(AND(G67&lt;&gt;"",H67&lt;&gt;""),LOOKUP(H67,Clubs!B$2:D$201),IF(AND(G67="",H67=""),"",IF(AND(G67&lt;&gt;"",H67=""),"ERREUR mettre un n° de club","ERREUR mettre un n° de Licence"))))</f>
        <v/>
      </c>
      <c r="J67" s="22"/>
      <c r="K67" s="16" t="str">
        <f t="shared" ca="1" si="0"/>
        <v/>
      </c>
      <c r="L67" s="17" t="str">
        <f t="shared" ca="1" si="1"/>
        <v/>
      </c>
      <c r="M67" s="20"/>
      <c r="N67" s="20"/>
      <c r="O67" s="23"/>
    </row>
    <row r="68" spans="1:15" x14ac:dyDescent="0.25">
      <c r="A68" s="16" t="str">
        <f>IF(H68="","",IF(LOOKUP(H68,Clubs!B$2:C$201)="","",LOOKUP(H68,Clubs!B$2:C$201)))</f>
        <v/>
      </c>
      <c r="B68" s="17">
        <v>64</v>
      </c>
      <c r="C68" s="11" t="s">
        <v>126</v>
      </c>
      <c r="D68" s="27"/>
      <c r="E68" s="19"/>
      <c r="F68" s="19"/>
      <c r="G68" s="20"/>
      <c r="H68" s="21"/>
      <c r="I68" s="18" t="str">
        <f>IF(G68="NL","",IF(AND(G68&lt;&gt;"",H68&lt;&gt;""),LOOKUP(H68,Clubs!B$2:D$201),IF(AND(G68="",H68=""),"",IF(AND(G68&lt;&gt;"",H68=""),"ERREUR mettre un n° de club","ERREUR mettre un n° de Licence"))))</f>
        <v/>
      </c>
      <c r="J68" s="22"/>
      <c r="K68" s="16" t="str">
        <f t="shared" ca="1" si="0"/>
        <v/>
      </c>
      <c r="L68" s="17" t="str">
        <f t="shared" ca="1" si="1"/>
        <v/>
      </c>
      <c r="M68" s="20"/>
      <c r="N68" s="20"/>
      <c r="O68" s="23"/>
    </row>
    <row r="69" spans="1:15" x14ac:dyDescent="0.25">
      <c r="A69" s="16" t="str">
        <f>IF(H69="","",IF(LOOKUP(H69,Clubs!B$2:C$201)="","",LOOKUP(H69,Clubs!B$2:C$201)))</f>
        <v/>
      </c>
      <c r="B69" s="17">
        <v>65</v>
      </c>
      <c r="C69" s="11" t="s">
        <v>126</v>
      </c>
      <c r="D69" s="27"/>
      <c r="E69" s="19"/>
      <c r="F69" s="19"/>
      <c r="G69" s="20"/>
      <c r="H69" s="21"/>
      <c r="I69" s="18" t="str">
        <f>IF(G69="NL","",IF(AND(G69&lt;&gt;"",H69&lt;&gt;""),LOOKUP(H69,Clubs!B$2:D$201),IF(AND(G69="",H69=""),"",IF(AND(G69&lt;&gt;"",H69=""),"ERREUR mettre un n° de club","ERREUR mettre un n° de Licence"))))</f>
        <v/>
      </c>
      <c r="J69" s="22"/>
      <c r="K69" s="16" t="str">
        <f t="shared" ca="1" si="0"/>
        <v/>
      </c>
      <c r="L69" s="17" t="str">
        <f t="shared" ca="1" si="1"/>
        <v/>
      </c>
      <c r="M69" s="20"/>
      <c r="N69" s="20"/>
      <c r="O69" s="23"/>
    </row>
    <row r="70" spans="1:15" x14ac:dyDescent="0.25">
      <c r="A70" s="16" t="str">
        <f>IF(H70="","",IF(LOOKUP(H70,Clubs!B$2:C$201)="","",LOOKUP(H70,Clubs!B$2:C$201)))</f>
        <v/>
      </c>
      <c r="B70" s="17">
        <v>66</v>
      </c>
      <c r="C70" s="11" t="s">
        <v>126</v>
      </c>
      <c r="D70" s="27"/>
      <c r="E70" s="19"/>
      <c r="F70" s="19"/>
      <c r="G70" s="20"/>
      <c r="H70" s="21"/>
      <c r="I70" s="18" t="str">
        <f>IF(G70="NL","",IF(AND(G70&lt;&gt;"",H70&lt;&gt;""),LOOKUP(H70,Clubs!B$2:D$201),IF(AND(G70="",H70=""),"",IF(AND(G70&lt;&gt;"",H70=""),"ERREUR mettre un n° de club","ERREUR mettre un n° de Licence"))))</f>
        <v/>
      </c>
      <c r="J70" s="22"/>
      <c r="K70" s="16" t="str">
        <f t="shared" ref="K70:K133" ca="1" si="2">IF(J70="","",YEAR(TODAY())-YEAR(J70))</f>
        <v/>
      </c>
      <c r="L70" s="17" t="str">
        <f t="shared" ref="L70:L133" ca="1" si="3">IF(K70="","",IF(K70&lt;13,"PUPILLE",IF(AND(K70&gt;12,K70&lt;15),"MINIME",IF(AND(K70&gt;14,K70&lt;17),"CADET",IF(AND(K70&gt;15,K70&lt;19),"JUNIOR","SENIOR")))))</f>
        <v/>
      </c>
      <c r="M70" s="20"/>
      <c r="N70" s="20"/>
      <c r="O70" s="23"/>
    </row>
    <row r="71" spans="1:15" x14ac:dyDescent="0.25">
      <c r="A71" s="16" t="str">
        <f>IF(H71="","",IF(LOOKUP(H71,Clubs!B$2:C$201)="","",LOOKUP(H71,Clubs!B$2:C$201)))</f>
        <v/>
      </c>
      <c r="B71" s="17">
        <v>67</v>
      </c>
      <c r="C71" s="11" t="s">
        <v>126</v>
      </c>
      <c r="D71" s="27"/>
      <c r="E71" s="19"/>
      <c r="F71" s="19"/>
      <c r="G71" s="20"/>
      <c r="H71" s="21"/>
      <c r="I71" s="18" t="str">
        <f>IF(G71="NL","",IF(AND(G71&lt;&gt;"",H71&lt;&gt;""),LOOKUP(H71,Clubs!B$2:D$201),IF(AND(G71="",H71=""),"",IF(AND(G71&lt;&gt;"",H71=""),"ERREUR mettre un n° de club","ERREUR mettre un n° de Licence"))))</f>
        <v/>
      </c>
      <c r="J71" s="22"/>
      <c r="K71" s="16" t="str">
        <f t="shared" ca="1" si="2"/>
        <v/>
      </c>
      <c r="L71" s="17" t="str">
        <f t="shared" ca="1" si="3"/>
        <v/>
      </c>
      <c r="M71" s="20"/>
      <c r="N71" s="20"/>
      <c r="O71" s="23"/>
    </row>
    <row r="72" spans="1:15" x14ac:dyDescent="0.25">
      <c r="A72" s="16" t="str">
        <f>IF(H72="","",IF(LOOKUP(H72,Clubs!B$2:C$201)="","",LOOKUP(H72,Clubs!B$2:C$201)))</f>
        <v/>
      </c>
      <c r="B72" s="17">
        <v>68</v>
      </c>
      <c r="C72" s="11" t="s">
        <v>126</v>
      </c>
      <c r="D72" s="27"/>
      <c r="E72" s="19"/>
      <c r="F72" s="19"/>
      <c r="G72" s="20"/>
      <c r="H72" s="21"/>
      <c r="I72" s="18" t="str">
        <f>IF(G72="NL","",IF(AND(G72&lt;&gt;"",H72&lt;&gt;""),LOOKUP(H72,Clubs!B$2:D$201),IF(AND(G72="",H72=""),"",IF(AND(G72&lt;&gt;"",H72=""),"ERREUR mettre un n° de club","ERREUR mettre un n° de Licence"))))</f>
        <v/>
      </c>
      <c r="J72" s="22"/>
      <c r="K72" s="16" t="str">
        <f t="shared" ca="1" si="2"/>
        <v/>
      </c>
      <c r="L72" s="17" t="str">
        <f t="shared" ca="1" si="3"/>
        <v/>
      </c>
      <c r="M72" s="20"/>
      <c r="N72" s="20"/>
      <c r="O72" s="23"/>
    </row>
    <row r="73" spans="1:15" x14ac:dyDescent="0.25">
      <c r="A73" s="16" t="str">
        <f>IF(H73="","",IF(LOOKUP(H73,Clubs!B$2:C$201)="","",LOOKUP(H73,Clubs!B$2:C$201)))</f>
        <v/>
      </c>
      <c r="B73" s="17">
        <v>69</v>
      </c>
      <c r="C73" s="11" t="s">
        <v>126</v>
      </c>
      <c r="D73" s="27"/>
      <c r="E73" s="19"/>
      <c r="F73" s="19"/>
      <c r="G73" s="20"/>
      <c r="H73" s="21"/>
      <c r="I73" s="18" t="str">
        <f>IF(G73="NL","",IF(AND(G73&lt;&gt;"",H73&lt;&gt;""),LOOKUP(H73,Clubs!B$2:D$201),IF(AND(G73="",H73=""),"",IF(AND(G73&lt;&gt;"",H73=""),"ERREUR mettre un n° de club","ERREUR mettre un n° de Licence"))))</f>
        <v/>
      </c>
      <c r="J73" s="22"/>
      <c r="K73" s="16" t="str">
        <f t="shared" ca="1" si="2"/>
        <v/>
      </c>
      <c r="L73" s="17" t="str">
        <f t="shared" ca="1" si="3"/>
        <v/>
      </c>
      <c r="M73" s="20"/>
      <c r="N73" s="20"/>
      <c r="O73" s="23"/>
    </row>
    <row r="74" spans="1:15" x14ac:dyDescent="0.25">
      <c r="A74" s="16" t="str">
        <f>IF(H74="","",IF(LOOKUP(H74,Clubs!B$2:C$201)="","",LOOKUP(H74,Clubs!B$2:C$201)))</f>
        <v/>
      </c>
      <c r="B74" s="17">
        <v>70</v>
      </c>
      <c r="C74" s="11" t="s">
        <v>126</v>
      </c>
      <c r="D74" s="27"/>
      <c r="E74" s="19"/>
      <c r="F74" s="19"/>
      <c r="G74" s="20"/>
      <c r="H74" s="21"/>
      <c r="I74" s="18" t="str">
        <f>IF(G74="NL","",IF(AND(G74&lt;&gt;"",H74&lt;&gt;""),LOOKUP(H74,Clubs!B$2:D$201),IF(AND(G74="",H74=""),"",IF(AND(G74&lt;&gt;"",H74=""),"ERREUR mettre un n° de club","ERREUR mettre un n° de Licence"))))</f>
        <v/>
      </c>
      <c r="J74" s="22"/>
      <c r="K74" s="16" t="str">
        <f t="shared" ca="1" si="2"/>
        <v/>
      </c>
      <c r="L74" s="17" t="str">
        <f t="shared" ca="1" si="3"/>
        <v/>
      </c>
      <c r="M74" s="20"/>
      <c r="N74" s="20"/>
      <c r="O74" s="23"/>
    </row>
    <row r="75" spans="1:15" x14ac:dyDescent="0.25">
      <c r="A75" s="16" t="str">
        <f>IF(H75="","",IF(LOOKUP(H75,Clubs!B$2:C$201)="","",LOOKUP(H75,Clubs!B$2:C$201)))</f>
        <v/>
      </c>
      <c r="B75" s="17">
        <v>71</v>
      </c>
      <c r="C75" s="11" t="s">
        <v>126</v>
      </c>
      <c r="D75" s="27"/>
      <c r="E75" s="19"/>
      <c r="F75" s="19"/>
      <c r="G75" s="20"/>
      <c r="H75" s="21"/>
      <c r="I75" s="18" t="str">
        <f>IF(G75="NL","",IF(AND(G75&lt;&gt;"",H75&lt;&gt;""),LOOKUP(H75,Clubs!B$2:D$201),IF(AND(G75="",H75=""),"",IF(AND(G75&lt;&gt;"",H75=""),"ERREUR mettre un n° de club","ERREUR mettre un n° de Licence"))))</f>
        <v/>
      </c>
      <c r="J75" s="22"/>
      <c r="K75" s="16" t="str">
        <f t="shared" ca="1" si="2"/>
        <v/>
      </c>
      <c r="L75" s="17" t="str">
        <f t="shared" ca="1" si="3"/>
        <v/>
      </c>
      <c r="M75" s="20"/>
      <c r="N75" s="20"/>
      <c r="O75" s="23"/>
    </row>
    <row r="76" spans="1:15" x14ac:dyDescent="0.25">
      <c r="A76" s="16" t="str">
        <f>IF(H76="","",IF(LOOKUP(H76,Clubs!B$2:C$201)="","",LOOKUP(H76,Clubs!B$2:C$201)))</f>
        <v/>
      </c>
      <c r="B76" s="17">
        <v>72</v>
      </c>
      <c r="C76" s="11" t="s">
        <v>126</v>
      </c>
      <c r="D76" s="27"/>
      <c r="E76" s="19"/>
      <c r="F76" s="19"/>
      <c r="G76" s="20"/>
      <c r="H76" s="21"/>
      <c r="I76" s="18" t="str">
        <f>IF(G76="NL","",IF(AND(G76&lt;&gt;"",H76&lt;&gt;""),LOOKUP(H76,Clubs!B$2:D$201),IF(AND(G76="",H76=""),"",IF(AND(G76&lt;&gt;"",H76=""),"ERREUR mettre un n° de club","ERREUR mettre un n° de Licence"))))</f>
        <v/>
      </c>
      <c r="J76" s="22"/>
      <c r="K76" s="16" t="str">
        <f t="shared" ca="1" si="2"/>
        <v/>
      </c>
      <c r="L76" s="17" t="str">
        <f t="shared" ca="1" si="3"/>
        <v/>
      </c>
      <c r="M76" s="20"/>
      <c r="N76" s="20"/>
      <c r="O76" s="23"/>
    </row>
    <row r="77" spans="1:15" x14ac:dyDescent="0.25">
      <c r="A77" s="16" t="str">
        <f>IF(H77="","",IF(LOOKUP(H77,Clubs!B$2:C$201)="","",LOOKUP(H77,Clubs!B$2:C$201)))</f>
        <v/>
      </c>
      <c r="B77" s="17">
        <v>73</v>
      </c>
      <c r="C77" s="11" t="s">
        <v>126</v>
      </c>
      <c r="D77" s="27"/>
      <c r="E77" s="19"/>
      <c r="F77" s="19"/>
      <c r="G77" s="20"/>
      <c r="H77" s="21"/>
      <c r="I77" s="18" t="str">
        <f>IF(G77="NL","",IF(AND(G77&lt;&gt;"",H77&lt;&gt;""),LOOKUP(H77,Clubs!B$2:D$201),IF(AND(G77="",H77=""),"",IF(AND(G77&lt;&gt;"",H77=""),"ERREUR mettre un n° de club","ERREUR mettre un n° de Licence"))))</f>
        <v/>
      </c>
      <c r="J77" s="22"/>
      <c r="K77" s="16" t="str">
        <f t="shared" ca="1" si="2"/>
        <v/>
      </c>
      <c r="L77" s="17" t="str">
        <f t="shared" ca="1" si="3"/>
        <v/>
      </c>
      <c r="M77" s="20"/>
      <c r="N77" s="20"/>
      <c r="O77" s="23"/>
    </row>
    <row r="78" spans="1:15" x14ac:dyDescent="0.25">
      <c r="A78" s="16" t="str">
        <f>IF(H78="","",IF(LOOKUP(H78,Clubs!B$2:C$201)="","",LOOKUP(H78,Clubs!B$2:C$201)))</f>
        <v/>
      </c>
      <c r="B78" s="17">
        <v>74</v>
      </c>
      <c r="C78" s="11" t="s">
        <v>126</v>
      </c>
      <c r="D78" s="27"/>
      <c r="E78" s="19"/>
      <c r="F78" s="19"/>
      <c r="G78" s="20"/>
      <c r="H78" s="21"/>
      <c r="I78" s="18" t="str">
        <f>IF(G78="NL","",IF(AND(G78&lt;&gt;"",H78&lt;&gt;""),LOOKUP(H78,Clubs!B$2:D$201),IF(AND(G78="",H78=""),"",IF(AND(G78&lt;&gt;"",H78=""),"ERREUR mettre un n° de club","ERREUR mettre un n° de Licence"))))</f>
        <v/>
      </c>
      <c r="J78" s="22"/>
      <c r="K78" s="16" t="str">
        <f t="shared" ca="1" si="2"/>
        <v/>
      </c>
      <c r="L78" s="17" t="str">
        <f t="shared" ca="1" si="3"/>
        <v/>
      </c>
      <c r="M78" s="20"/>
      <c r="N78" s="20"/>
      <c r="O78" s="23"/>
    </row>
    <row r="79" spans="1:15" x14ac:dyDescent="0.25">
      <c r="A79" s="16" t="str">
        <f>IF(H79="","",IF(LOOKUP(H79,Clubs!B$2:C$201)="","",LOOKUP(H79,Clubs!B$2:C$201)))</f>
        <v/>
      </c>
      <c r="B79" s="17">
        <v>75</v>
      </c>
      <c r="C79" s="11" t="s">
        <v>126</v>
      </c>
      <c r="D79" s="27"/>
      <c r="E79" s="19"/>
      <c r="F79" s="19"/>
      <c r="G79" s="20"/>
      <c r="H79" s="21"/>
      <c r="I79" s="18" t="str">
        <f>IF(G79="NL","",IF(AND(G79&lt;&gt;"",H79&lt;&gt;""),LOOKUP(H79,Clubs!B$2:D$201),IF(AND(G79="",H79=""),"",IF(AND(G79&lt;&gt;"",H79=""),"ERREUR mettre un n° de club","ERREUR mettre un n° de Licence"))))</f>
        <v/>
      </c>
      <c r="J79" s="22"/>
      <c r="K79" s="16" t="str">
        <f t="shared" ca="1" si="2"/>
        <v/>
      </c>
      <c r="L79" s="17" t="str">
        <f t="shared" ca="1" si="3"/>
        <v/>
      </c>
      <c r="M79" s="20"/>
      <c r="N79" s="20"/>
      <c r="O79" s="23"/>
    </row>
    <row r="80" spans="1:15" x14ac:dyDescent="0.25">
      <c r="A80" s="16" t="str">
        <f>IF(H80="","",IF(LOOKUP(H80,Clubs!B$2:C$201)="","",LOOKUP(H80,Clubs!B$2:C$201)))</f>
        <v/>
      </c>
      <c r="B80" s="17">
        <v>76</v>
      </c>
      <c r="C80" s="11" t="s">
        <v>126</v>
      </c>
      <c r="D80" s="27"/>
      <c r="E80" s="19"/>
      <c r="F80" s="19"/>
      <c r="G80" s="20"/>
      <c r="H80" s="21"/>
      <c r="I80" s="18" t="str">
        <f>IF(G80="NL","",IF(AND(G80&lt;&gt;"",H80&lt;&gt;""),LOOKUP(H80,Clubs!B$2:D$201),IF(AND(G80="",H80=""),"",IF(AND(G80&lt;&gt;"",H80=""),"ERREUR mettre un n° de club","ERREUR mettre un n° de Licence"))))</f>
        <v/>
      </c>
      <c r="J80" s="22"/>
      <c r="K80" s="16" t="str">
        <f t="shared" ca="1" si="2"/>
        <v/>
      </c>
      <c r="L80" s="17" t="str">
        <f t="shared" ca="1" si="3"/>
        <v/>
      </c>
      <c r="M80" s="20"/>
      <c r="N80" s="20"/>
      <c r="O80" s="23"/>
    </row>
    <row r="81" spans="1:15" x14ac:dyDescent="0.25">
      <c r="A81" s="16" t="str">
        <f>IF(H81="","",IF(LOOKUP(H81,Clubs!B$2:C$201)="","",LOOKUP(H81,Clubs!B$2:C$201)))</f>
        <v/>
      </c>
      <c r="B81" s="17">
        <v>77</v>
      </c>
      <c r="C81" s="11" t="s">
        <v>126</v>
      </c>
      <c r="D81" s="27"/>
      <c r="E81" s="19"/>
      <c r="F81" s="19"/>
      <c r="G81" s="20"/>
      <c r="H81" s="21"/>
      <c r="I81" s="18" t="str">
        <f>IF(G81="NL","",IF(AND(G81&lt;&gt;"",H81&lt;&gt;""),LOOKUP(H81,Clubs!B$2:D$201),IF(AND(G81="",H81=""),"",IF(AND(G81&lt;&gt;"",H81=""),"ERREUR mettre un n° de club","ERREUR mettre un n° de Licence"))))</f>
        <v/>
      </c>
      <c r="J81" s="22"/>
      <c r="K81" s="16" t="str">
        <f t="shared" ca="1" si="2"/>
        <v/>
      </c>
      <c r="L81" s="17" t="str">
        <f t="shared" ca="1" si="3"/>
        <v/>
      </c>
      <c r="M81" s="20"/>
      <c r="N81" s="20"/>
      <c r="O81" s="23"/>
    </row>
    <row r="82" spans="1:15" x14ac:dyDescent="0.25">
      <c r="A82" s="16" t="str">
        <f>IF(H82="","",IF(LOOKUP(H82,Clubs!B$2:C$201)="","",LOOKUP(H82,Clubs!B$2:C$201)))</f>
        <v/>
      </c>
      <c r="B82" s="17">
        <v>78</v>
      </c>
      <c r="C82" s="11" t="s">
        <v>126</v>
      </c>
      <c r="D82" s="27"/>
      <c r="E82" s="19"/>
      <c r="F82" s="19"/>
      <c r="G82" s="20"/>
      <c r="H82" s="21"/>
      <c r="I82" s="18" t="str">
        <f>IF(G82="NL","",IF(AND(G82&lt;&gt;"",H82&lt;&gt;""),LOOKUP(H82,Clubs!B$2:D$201),IF(AND(G82="",H82=""),"",IF(AND(G82&lt;&gt;"",H82=""),"ERREUR mettre un n° de club","ERREUR mettre un n° de Licence"))))</f>
        <v/>
      </c>
      <c r="J82" s="22"/>
      <c r="K82" s="16" t="str">
        <f t="shared" ca="1" si="2"/>
        <v/>
      </c>
      <c r="L82" s="17" t="str">
        <f t="shared" ca="1" si="3"/>
        <v/>
      </c>
      <c r="M82" s="20"/>
      <c r="N82" s="20"/>
      <c r="O82" s="23"/>
    </row>
    <row r="83" spans="1:15" x14ac:dyDescent="0.25">
      <c r="A83" s="16" t="str">
        <f>IF(H83="","",IF(LOOKUP(H83,Clubs!B$2:C$201)="","",LOOKUP(H83,Clubs!B$2:C$201)))</f>
        <v/>
      </c>
      <c r="B83" s="17">
        <v>79</v>
      </c>
      <c r="C83" s="11" t="s">
        <v>126</v>
      </c>
      <c r="D83" s="27"/>
      <c r="E83" s="19"/>
      <c r="F83" s="19"/>
      <c r="G83" s="20"/>
      <c r="H83" s="21"/>
      <c r="I83" s="18" t="str">
        <f>IF(G83="NL","",IF(AND(G83&lt;&gt;"",H83&lt;&gt;""),LOOKUP(H83,Clubs!B$2:D$201),IF(AND(G83="",H83=""),"",IF(AND(G83&lt;&gt;"",H83=""),"ERREUR mettre un n° de club","ERREUR mettre un n° de Licence"))))</f>
        <v/>
      </c>
      <c r="J83" s="22"/>
      <c r="K83" s="16" t="str">
        <f t="shared" ca="1" si="2"/>
        <v/>
      </c>
      <c r="L83" s="17" t="str">
        <f t="shared" ca="1" si="3"/>
        <v/>
      </c>
      <c r="M83" s="20"/>
      <c r="N83" s="20"/>
      <c r="O83" s="23"/>
    </row>
    <row r="84" spans="1:15" x14ac:dyDescent="0.25">
      <c r="A84" s="16" t="str">
        <f>IF(H84="","",IF(LOOKUP(H84,Clubs!B$2:C$201)="","",LOOKUP(H84,Clubs!B$2:C$201)))</f>
        <v/>
      </c>
      <c r="B84" s="17">
        <v>80</v>
      </c>
      <c r="C84" s="11" t="s">
        <v>126</v>
      </c>
      <c r="D84" s="27"/>
      <c r="E84" s="19"/>
      <c r="F84" s="19"/>
      <c r="G84" s="20"/>
      <c r="H84" s="21"/>
      <c r="I84" s="18" t="str">
        <f>IF(G84="NL","",IF(AND(G84&lt;&gt;"",H84&lt;&gt;""),LOOKUP(H84,Clubs!B$2:D$201),IF(AND(G84="",H84=""),"",IF(AND(G84&lt;&gt;"",H84=""),"ERREUR mettre un n° de club","ERREUR mettre un n° de Licence"))))</f>
        <v/>
      </c>
      <c r="J84" s="22"/>
      <c r="K84" s="16" t="str">
        <f t="shared" ca="1" si="2"/>
        <v/>
      </c>
      <c r="L84" s="17" t="str">
        <f t="shared" ca="1" si="3"/>
        <v/>
      </c>
      <c r="M84" s="20"/>
      <c r="N84" s="20"/>
      <c r="O84" s="23"/>
    </row>
    <row r="85" spans="1:15" x14ac:dyDescent="0.25">
      <c r="A85" s="16" t="str">
        <f>IF(H85="","",IF(LOOKUP(H85,Clubs!B$2:C$201)="","",LOOKUP(H85,Clubs!B$2:C$201)))</f>
        <v/>
      </c>
      <c r="B85" s="17">
        <v>81</v>
      </c>
      <c r="C85" s="11" t="s">
        <v>126</v>
      </c>
      <c r="D85" s="27"/>
      <c r="E85" s="19"/>
      <c r="F85" s="19"/>
      <c r="G85" s="20"/>
      <c r="H85" s="21"/>
      <c r="I85" s="18" t="str">
        <f>IF(G85="NL","",IF(AND(G85&lt;&gt;"",H85&lt;&gt;""),LOOKUP(H85,Clubs!B$2:D$201),IF(AND(G85="",H85=""),"",IF(AND(G85&lt;&gt;"",H85=""),"ERREUR mettre un n° de club","ERREUR mettre un n° de Licence"))))</f>
        <v/>
      </c>
      <c r="J85" s="22"/>
      <c r="K85" s="16" t="str">
        <f t="shared" ca="1" si="2"/>
        <v/>
      </c>
      <c r="L85" s="17" t="str">
        <f t="shared" ca="1" si="3"/>
        <v/>
      </c>
      <c r="M85" s="20"/>
      <c r="N85" s="20"/>
      <c r="O85" s="23"/>
    </row>
    <row r="86" spans="1:15" x14ac:dyDescent="0.25">
      <c r="A86" s="16" t="str">
        <f>IF(H86="","",IF(LOOKUP(H86,Clubs!B$2:C$201)="","",LOOKUP(H86,Clubs!B$2:C$201)))</f>
        <v/>
      </c>
      <c r="B86" s="17">
        <v>82</v>
      </c>
      <c r="C86" s="11" t="s">
        <v>126</v>
      </c>
      <c r="D86" s="27"/>
      <c r="E86" s="19"/>
      <c r="F86" s="19"/>
      <c r="G86" s="20"/>
      <c r="H86" s="21"/>
      <c r="I86" s="18" t="str">
        <f>IF(G86="NL","",IF(AND(G86&lt;&gt;"",H86&lt;&gt;""),LOOKUP(H86,Clubs!B$2:D$201),IF(AND(G86="",H86=""),"",IF(AND(G86&lt;&gt;"",H86=""),"ERREUR mettre un n° de club","ERREUR mettre un n° de Licence"))))</f>
        <v/>
      </c>
      <c r="J86" s="22"/>
      <c r="K86" s="16" t="str">
        <f t="shared" ca="1" si="2"/>
        <v/>
      </c>
      <c r="L86" s="17" t="str">
        <f t="shared" ca="1" si="3"/>
        <v/>
      </c>
      <c r="M86" s="20"/>
      <c r="N86" s="20"/>
      <c r="O86" s="23"/>
    </row>
    <row r="87" spans="1:15" x14ac:dyDescent="0.25">
      <c r="A87" s="16" t="str">
        <f>IF(H87="","",IF(LOOKUP(H87,Clubs!B$2:C$201)="","",LOOKUP(H87,Clubs!B$2:C$201)))</f>
        <v/>
      </c>
      <c r="B87" s="17">
        <v>83</v>
      </c>
      <c r="C87" s="11" t="s">
        <v>126</v>
      </c>
      <c r="D87" s="27"/>
      <c r="E87" s="19"/>
      <c r="F87" s="19"/>
      <c r="G87" s="20"/>
      <c r="H87" s="21"/>
      <c r="I87" s="18" t="str">
        <f>IF(G87="NL","",IF(AND(G87&lt;&gt;"",H87&lt;&gt;""),LOOKUP(H87,Clubs!B$2:D$201),IF(AND(G87="",H87=""),"",IF(AND(G87&lt;&gt;"",H87=""),"ERREUR mettre un n° de club","ERREUR mettre un n° de Licence"))))</f>
        <v/>
      </c>
      <c r="J87" s="22"/>
      <c r="K87" s="16" t="str">
        <f t="shared" ca="1" si="2"/>
        <v/>
      </c>
      <c r="L87" s="17" t="str">
        <f t="shared" ca="1" si="3"/>
        <v/>
      </c>
      <c r="M87" s="20"/>
      <c r="N87" s="20"/>
      <c r="O87" s="23"/>
    </row>
    <row r="88" spans="1:15" x14ac:dyDescent="0.25">
      <c r="A88" s="16" t="str">
        <f>IF(H88="","",IF(LOOKUP(H88,Clubs!B$2:C$201)="","",LOOKUP(H88,Clubs!B$2:C$201)))</f>
        <v/>
      </c>
      <c r="B88" s="17">
        <v>84</v>
      </c>
      <c r="C88" s="11" t="s">
        <v>126</v>
      </c>
      <c r="D88" s="27"/>
      <c r="E88" s="19"/>
      <c r="F88" s="19"/>
      <c r="G88" s="20"/>
      <c r="H88" s="21"/>
      <c r="I88" s="18" t="str">
        <f>IF(G88="NL","",IF(AND(G88&lt;&gt;"",H88&lt;&gt;""),LOOKUP(H88,Clubs!B$2:D$201),IF(AND(G88="",H88=""),"",IF(AND(G88&lt;&gt;"",H88=""),"ERREUR mettre un n° de club","ERREUR mettre un n° de Licence"))))</f>
        <v/>
      </c>
      <c r="J88" s="22"/>
      <c r="K88" s="16" t="str">
        <f t="shared" ca="1" si="2"/>
        <v/>
      </c>
      <c r="L88" s="17" t="str">
        <f t="shared" ca="1" si="3"/>
        <v/>
      </c>
      <c r="M88" s="20"/>
      <c r="N88" s="20"/>
      <c r="O88" s="23"/>
    </row>
    <row r="89" spans="1:15" x14ac:dyDescent="0.25">
      <c r="A89" s="16" t="str">
        <f>IF(H89="","",IF(LOOKUP(H89,Clubs!B$2:C$201)="","",LOOKUP(H89,Clubs!B$2:C$201)))</f>
        <v/>
      </c>
      <c r="B89" s="17">
        <v>85</v>
      </c>
      <c r="C89" s="11" t="s">
        <v>126</v>
      </c>
      <c r="D89" s="27"/>
      <c r="E89" s="19"/>
      <c r="F89" s="19"/>
      <c r="G89" s="20"/>
      <c r="H89" s="21"/>
      <c r="I89" s="18" t="str">
        <f>IF(G89="NL","",IF(AND(G89&lt;&gt;"",H89&lt;&gt;""),LOOKUP(H89,Clubs!B$2:D$201),IF(AND(G89="",H89=""),"",IF(AND(G89&lt;&gt;"",H89=""),"ERREUR mettre un n° de club","ERREUR mettre un n° de Licence"))))</f>
        <v/>
      </c>
      <c r="J89" s="22"/>
      <c r="K89" s="16" t="str">
        <f t="shared" ca="1" si="2"/>
        <v/>
      </c>
      <c r="L89" s="17" t="str">
        <f t="shared" ca="1" si="3"/>
        <v/>
      </c>
      <c r="M89" s="20"/>
      <c r="N89" s="20"/>
      <c r="O89" s="23"/>
    </row>
    <row r="90" spans="1:15" x14ac:dyDescent="0.25">
      <c r="A90" s="16" t="str">
        <f>IF(H90="","",IF(LOOKUP(H90,Clubs!B$2:C$201)="","",LOOKUP(H90,Clubs!B$2:C$201)))</f>
        <v/>
      </c>
      <c r="B90" s="17">
        <v>86</v>
      </c>
      <c r="C90" s="11" t="s">
        <v>126</v>
      </c>
      <c r="D90" s="27"/>
      <c r="E90" s="19"/>
      <c r="F90" s="19"/>
      <c r="G90" s="20"/>
      <c r="H90" s="21"/>
      <c r="I90" s="18" t="str">
        <f>IF(G90="NL","",IF(AND(G90&lt;&gt;"",H90&lt;&gt;""),LOOKUP(H90,Clubs!B$2:D$201),IF(AND(G90="",H90=""),"",IF(AND(G90&lt;&gt;"",H90=""),"ERREUR mettre un n° de club","ERREUR mettre un n° de Licence"))))</f>
        <v/>
      </c>
      <c r="J90" s="22"/>
      <c r="K90" s="16" t="str">
        <f t="shared" ca="1" si="2"/>
        <v/>
      </c>
      <c r="L90" s="17" t="str">
        <f t="shared" ca="1" si="3"/>
        <v/>
      </c>
      <c r="M90" s="20"/>
      <c r="N90" s="20"/>
      <c r="O90" s="23"/>
    </row>
    <row r="91" spans="1:15" x14ac:dyDescent="0.25">
      <c r="A91" s="16" t="str">
        <f>IF(H91="","",IF(LOOKUP(H91,Clubs!B$2:C$201)="","",LOOKUP(H91,Clubs!B$2:C$201)))</f>
        <v/>
      </c>
      <c r="B91" s="17">
        <v>87</v>
      </c>
      <c r="C91" s="11" t="s">
        <v>126</v>
      </c>
      <c r="D91" s="27"/>
      <c r="E91" s="19"/>
      <c r="F91" s="19"/>
      <c r="G91" s="20"/>
      <c r="H91" s="21"/>
      <c r="I91" s="18" t="str">
        <f>IF(G91="NL","",IF(AND(G91&lt;&gt;"",H91&lt;&gt;""),LOOKUP(H91,Clubs!B$2:D$201),IF(AND(G91="",H91=""),"",IF(AND(G91&lt;&gt;"",H91=""),"ERREUR mettre un n° de club","ERREUR mettre un n° de Licence"))))</f>
        <v/>
      </c>
      <c r="J91" s="22"/>
      <c r="K91" s="16" t="str">
        <f t="shared" ca="1" si="2"/>
        <v/>
      </c>
      <c r="L91" s="17" t="str">
        <f t="shared" ca="1" si="3"/>
        <v/>
      </c>
      <c r="M91" s="20"/>
      <c r="N91" s="20"/>
      <c r="O91" s="23"/>
    </row>
    <row r="92" spans="1:15" x14ac:dyDescent="0.25">
      <c r="A92" s="16" t="str">
        <f>IF(H92="","",IF(LOOKUP(H92,Clubs!B$2:C$201)="","",LOOKUP(H92,Clubs!B$2:C$201)))</f>
        <v/>
      </c>
      <c r="B92" s="17">
        <v>88</v>
      </c>
      <c r="C92" s="11" t="s">
        <v>126</v>
      </c>
      <c r="D92" s="27"/>
      <c r="E92" s="19"/>
      <c r="F92" s="19"/>
      <c r="G92" s="20"/>
      <c r="H92" s="21"/>
      <c r="I92" s="18" t="str">
        <f>IF(G92="NL","",IF(AND(G92&lt;&gt;"",H92&lt;&gt;""),LOOKUP(H92,Clubs!B$2:D$201),IF(AND(G92="",H92=""),"",IF(AND(G92&lt;&gt;"",H92=""),"ERREUR mettre un n° de club","ERREUR mettre un n° de Licence"))))</f>
        <v/>
      </c>
      <c r="J92" s="22"/>
      <c r="K92" s="16" t="str">
        <f t="shared" ca="1" si="2"/>
        <v/>
      </c>
      <c r="L92" s="17" t="str">
        <f t="shared" ca="1" si="3"/>
        <v/>
      </c>
      <c r="M92" s="20"/>
      <c r="N92" s="20"/>
      <c r="O92" s="23"/>
    </row>
    <row r="93" spans="1:15" x14ac:dyDescent="0.25">
      <c r="A93" s="16" t="str">
        <f>IF(H93="","",IF(LOOKUP(H93,Clubs!B$2:C$201)="","",LOOKUP(H93,Clubs!B$2:C$201)))</f>
        <v/>
      </c>
      <c r="B93" s="17">
        <v>89</v>
      </c>
      <c r="C93" s="11" t="s">
        <v>126</v>
      </c>
      <c r="D93" s="27"/>
      <c r="E93" s="19"/>
      <c r="F93" s="19"/>
      <c r="G93" s="20"/>
      <c r="H93" s="21"/>
      <c r="I93" s="18" t="str">
        <f>IF(G93="NL","",IF(AND(G93&lt;&gt;"",H93&lt;&gt;""),LOOKUP(H93,Clubs!B$2:D$201),IF(AND(G93="",H93=""),"",IF(AND(G93&lt;&gt;"",H93=""),"ERREUR mettre un n° de club","ERREUR mettre un n° de Licence"))))</f>
        <v/>
      </c>
      <c r="J93" s="22"/>
      <c r="K93" s="16" t="str">
        <f t="shared" ca="1" si="2"/>
        <v/>
      </c>
      <c r="L93" s="17" t="str">
        <f t="shared" ca="1" si="3"/>
        <v/>
      </c>
      <c r="M93" s="20"/>
      <c r="N93" s="20"/>
      <c r="O93" s="23"/>
    </row>
    <row r="94" spans="1:15" x14ac:dyDescent="0.25">
      <c r="A94" s="16" t="str">
        <f>IF(H94="","",IF(LOOKUP(H94,Clubs!B$2:C$201)="","",LOOKUP(H94,Clubs!B$2:C$201)))</f>
        <v/>
      </c>
      <c r="B94" s="17">
        <v>90</v>
      </c>
      <c r="C94" s="11" t="s">
        <v>126</v>
      </c>
      <c r="D94" s="27"/>
      <c r="E94" s="19"/>
      <c r="F94" s="19"/>
      <c r="G94" s="20"/>
      <c r="H94" s="21"/>
      <c r="I94" s="18" t="str">
        <f>IF(G94="NL","",IF(AND(G94&lt;&gt;"",H94&lt;&gt;""),LOOKUP(H94,Clubs!B$2:D$201),IF(AND(G94="",H94=""),"",IF(AND(G94&lt;&gt;"",H94=""),"ERREUR mettre un n° de club","ERREUR mettre un n° de Licence"))))</f>
        <v/>
      </c>
      <c r="J94" s="22"/>
      <c r="K94" s="16" t="str">
        <f t="shared" ca="1" si="2"/>
        <v/>
      </c>
      <c r="L94" s="17" t="str">
        <f t="shared" ca="1" si="3"/>
        <v/>
      </c>
      <c r="M94" s="20"/>
      <c r="N94" s="20"/>
      <c r="O94" s="23"/>
    </row>
    <row r="95" spans="1:15" x14ac:dyDescent="0.25">
      <c r="A95" s="16" t="str">
        <f>IF(H95="","",IF(LOOKUP(H95,Clubs!B$2:C$201)="","",LOOKUP(H95,Clubs!B$2:C$201)))</f>
        <v/>
      </c>
      <c r="B95" s="17">
        <v>91</v>
      </c>
      <c r="C95" s="11" t="s">
        <v>126</v>
      </c>
      <c r="D95" s="27"/>
      <c r="E95" s="19"/>
      <c r="F95" s="19"/>
      <c r="G95" s="20"/>
      <c r="H95" s="21"/>
      <c r="I95" s="18" t="str">
        <f>IF(G95="NL","",IF(AND(G95&lt;&gt;"",H95&lt;&gt;""),LOOKUP(H95,Clubs!B$2:D$201),IF(AND(G95="",H95=""),"",IF(AND(G95&lt;&gt;"",H95=""),"ERREUR mettre un n° de club","ERREUR mettre un n° de Licence"))))</f>
        <v/>
      </c>
      <c r="J95" s="22"/>
      <c r="K95" s="16" t="str">
        <f t="shared" ca="1" si="2"/>
        <v/>
      </c>
      <c r="L95" s="17" t="str">
        <f t="shared" ca="1" si="3"/>
        <v/>
      </c>
      <c r="M95" s="20"/>
      <c r="N95" s="20"/>
      <c r="O95" s="23"/>
    </row>
    <row r="96" spans="1:15" x14ac:dyDescent="0.25">
      <c r="A96" s="16" t="str">
        <f>IF(H96="","",IF(LOOKUP(H96,Clubs!B$2:C$201)="","",LOOKUP(H96,Clubs!B$2:C$201)))</f>
        <v/>
      </c>
      <c r="B96" s="17">
        <v>92</v>
      </c>
      <c r="C96" s="11" t="s">
        <v>126</v>
      </c>
      <c r="D96" s="27"/>
      <c r="E96" s="19"/>
      <c r="F96" s="19"/>
      <c r="G96" s="20"/>
      <c r="H96" s="21"/>
      <c r="I96" s="18" t="str">
        <f>IF(G96="NL","",IF(AND(G96&lt;&gt;"",H96&lt;&gt;""),LOOKUP(H96,Clubs!B$2:D$201),IF(AND(G96="",H96=""),"",IF(AND(G96&lt;&gt;"",H96=""),"ERREUR mettre un n° de club","ERREUR mettre un n° de Licence"))))</f>
        <v/>
      </c>
      <c r="J96" s="22"/>
      <c r="K96" s="16" t="str">
        <f t="shared" ca="1" si="2"/>
        <v/>
      </c>
      <c r="L96" s="17" t="str">
        <f t="shared" ca="1" si="3"/>
        <v/>
      </c>
      <c r="M96" s="20"/>
      <c r="N96" s="20"/>
      <c r="O96" s="23"/>
    </row>
    <row r="97" spans="1:15" x14ac:dyDescent="0.25">
      <c r="A97" s="16" t="str">
        <f>IF(H97="","",IF(LOOKUP(H97,Clubs!B$2:C$201)="","",LOOKUP(H97,Clubs!B$2:C$201)))</f>
        <v/>
      </c>
      <c r="B97" s="17">
        <v>93</v>
      </c>
      <c r="C97" s="11" t="s">
        <v>126</v>
      </c>
      <c r="D97" s="27"/>
      <c r="E97" s="19"/>
      <c r="F97" s="19"/>
      <c r="G97" s="20"/>
      <c r="H97" s="21"/>
      <c r="I97" s="18" t="str">
        <f>IF(G97="NL","",IF(AND(G97&lt;&gt;"",H97&lt;&gt;""),LOOKUP(H97,Clubs!B$2:D$201),IF(AND(G97="",H97=""),"",IF(AND(G97&lt;&gt;"",H97=""),"ERREUR mettre un n° de club","ERREUR mettre un n° de Licence"))))</f>
        <v/>
      </c>
      <c r="J97" s="22"/>
      <c r="K97" s="16" t="str">
        <f t="shared" ca="1" si="2"/>
        <v/>
      </c>
      <c r="L97" s="17" t="str">
        <f t="shared" ca="1" si="3"/>
        <v/>
      </c>
      <c r="M97" s="20"/>
      <c r="N97" s="20"/>
      <c r="O97" s="23"/>
    </row>
    <row r="98" spans="1:15" x14ac:dyDescent="0.25">
      <c r="A98" s="16" t="str">
        <f>IF(H98="","",IF(LOOKUP(H98,Clubs!B$2:C$201)="","",LOOKUP(H98,Clubs!B$2:C$201)))</f>
        <v/>
      </c>
      <c r="B98" s="17">
        <v>94</v>
      </c>
      <c r="C98" s="11" t="s">
        <v>126</v>
      </c>
      <c r="D98" s="27"/>
      <c r="E98" s="19"/>
      <c r="F98" s="19"/>
      <c r="G98" s="20"/>
      <c r="H98" s="21"/>
      <c r="I98" s="18" t="str">
        <f>IF(G98="NL","",IF(AND(G98&lt;&gt;"",H98&lt;&gt;""),LOOKUP(H98,Clubs!B$2:D$201),IF(AND(G98="",H98=""),"",IF(AND(G98&lt;&gt;"",H98=""),"ERREUR mettre un n° de club","ERREUR mettre un n° de Licence"))))</f>
        <v/>
      </c>
      <c r="J98" s="22"/>
      <c r="K98" s="16" t="str">
        <f t="shared" ca="1" si="2"/>
        <v/>
      </c>
      <c r="L98" s="17" t="str">
        <f t="shared" ca="1" si="3"/>
        <v/>
      </c>
      <c r="M98" s="20"/>
      <c r="N98" s="20"/>
      <c r="O98" s="23"/>
    </row>
    <row r="99" spans="1:15" x14ac:dyDescent="0.25">
      <c r="A99" s="16" t="str">
        <f>IF(H99="","",IF(LOOKUP(H99,Clubs!B$2:C$201)="","",LOOKUP(H99,Clubs!B$2:C$201)))</f>
        <v/>
      </c>
      <c r="B99" s="17">
        <v>95</v>
      </c>
      <c r="C99" s="11" t="s">
        <v>126</v>
      </c>
      <c r="D99" s="27"/>
      <c r="E99" s="19"/>
      <c r="F99" s="19"/>
      <c r="G99" s="20"/>
      <c r="H99" s="21"/>
      <c r="I99" s="18" t="str">
        <f>IF(G99="NL","",IF(AND(G99&lt;&gt;"",H99&lt;&gt;""),LOOKUP(H99,Clubs!B$2:D$201),IF(AND(G99="",H99=""),"",IF(AND(G99&lt;&gt;"",H99=""),"ERREUR mettre un n° de club","ERREUR mettre un n° de Licence"))))</f>
        <v/>
      </c>
      <c r="J99" s="22"/>
      <c r="K99" s="16" t="str">
        <f t="shared" ca="1" si="2"/>
        <v/>
      </c>
      <c r="L99" s="17" t="str">
        <f t="shared" ca="1" si="3"/>
        <v/>
      </c>
      <c r="M99" s="20"/>
      <c r="N99" s="20"/>
      <c r="O99" s="23"/>
    </row>
    <row r="100" spans="1:15" x14ac:dyDescent="0.25">
      <c r="A100" s="16" t="str">
        <f>IF(H100="","",IF(LOOKUP(H100,Clubs!B$2:C$201)="","",LOOKUP(H100,Clubs!B$2:C$201)))</f>
        <v/>
      </c>
      <c r="B100" s="17">
        <v>96</v>
      </c>
      <c r="C100" s="11" t="s">
        <v>126</v>
      </c>
      <c r="D100" s="27"/>
      <c r="E100" s="19"/>
      <c r="F100" s="19"/>
      <c r="G100" s="20"/>
      <c r="H100" s="21"/>
      <c r="I100" s="18" t="str">
        <f>IF(G100="NL","",IF(AND(G100&lt;&gt;"",H100&lt;&gt;""),LOOKUP(H100,Clubs!B$2:D$201),IF(AND(G100="",H100=""),"",IF(AND(G100&lt;&gt;"",H100=""),"ERREUR mettre un n° de club","ERREUR mettre un n° de Licence"))))</f>
        <v/>
      </c>
      <c r="J100" s="22"/>
      <c r="K100" s="16" t="str">
        <f t="shared" ca="1" si="2"/>
        <v/>
      </c>
      <c r="L100" s="17" t="str">
        <f t="shared" ca="1" si="3"/>
        <v/>
      </c>
      <c r="M100" s="20"/>
      <c r="N100" s="20"/>
      <c r="O100" s="23"/>
    </row>
    <row r="101" spans="1:15" x14ac:dyDescent="0.25">
      <c r="A101" s="16" t="str">
        <f>IF(H101="","",IF(LOOKUP(H101,Clubs!B$2:C$201)="","",LOOKUP(H101,Clubs!B$2:C$201)))</f>
        <v/>
      </c>
      <c r="B101" s="17">
        <v>97</v>
      </c>
      <c r="C101" s="11" t="s">
        <v>126</v>
      </c>
      <c r="D101" s="27"/>
      <c r="E101" s="19"/>
      <c r="F101" s="19"/>
      <c r="G101" s="20"/>
      <c r="H101" s="21"/>
      <c r="I101" s="18" t="str">
        <f>IF(G101="NL","",IF(AND(G101&lt;&gt;"",H101&lt;&gt;""),LOOKUP(H101,Clubs!B$2:D$201),IF(AND(G101="",H101=""),"",IF(AND(G101&lt;&gt;"",H101=""),"ERREUR mettre un n° de club","ERREUR mettre un n° de Licence"))))</f>
        <v/>
      </c>
      <c r="J101" s="22"/>
      <c r="K101" s="16" t="str">
        <f t="shared" ca="1" si="2"/>
        <v/>
      </c>
      <c r="L101" s="17" t="str">
        <f t="shared" ca="1" si="3"/>
        <v/>
      </c>
      <c r="M101" s="20"/>
      <c r="N101" s="20"/>
      <c r="O101" s="23"/>
    </row>
    <row r="102" spans="1:15" x14ac:dyDescent="0.25">
      <c r="A102" s="16" t="str">
        <f>IF(H102="","",IF(LOOKUP(H102,Clubs!B$2:C$201)="","",LOOKUP(H102,Clubs!B$2:C$201)))</f>
        <v/>
      </c>
      <c r="B102" s="17">
        <v>98</v>
      </c>
      <c r="C102" s="11" t="s">
        <v>126</v>
      </c>
      <c r="D102" s="27"/>
      <c r="E102" s="19"/>
      <c r="F102" s="19"/>
      <c r="G102" s="20"/>
      <c r="H102" s="21"/>
      <c r="I102" s="18" t="str">
        <f>IF(G102="NL","",IF(AND(G102&lt;&gt;"",H102&lt;&gt;""),LOOKUP(H102,Clubs!B$2:D$201),IF(AND(G102="",H102=""),"",IF(AND(G102&lt;&gt;"",H102=""),"ERREUR mettre un n° de club","ERREUR mettre un n° de Licence"))))</f>
        <v/>
      </c>
      <c r="J102" s="22"/>
      <c r="K102" s="16" t="str">
        <f t="shared" ca="1" si="2"/>
        <v/>
      </c>
      <c r="L102" s="17" t="str">
        <f t="shared" ca="1" si="3"/>
        <v/>
      </c>
      <c r="M102" s="20"/>
      <c r="N102" s="20"/>
      <c r="O102" s="23"/>
    </row>
    <row r="103" spans="1:15" x14ac:dyDescent="0.25">
      <c r="A103" s="16" t="str">
        <f>IF(H103="","",IF(LOOKUP(H103,Clubs!B$2:C$201)="","",LOOKUP(H103,Clubs!B$2:C$201)))</f>
        <v/>
      </c>
      <c r="B103" s="17">
        <v>99</v>
      </c>
      <c r="C103" s="11" t="s">
        <v>126</v>
      </c>
      <c r="D103" s="27"/>
      <c r="E103" s="19"/>
      <c r="F103" s="19"/>
      <c r="G103" s="20"/>
      <c r="H103" s="21"/>
      <c r="I103" s="18" t="str">
        <f>IF(G103="NL","",IF(AND(G103&lt;&gt;"",H103&lt;&gt;""),LOOKUP(H103,Clubs!B$2:D$201),IF(AND(G103="",H103=""),"",IF(AND(G103&lt;&gt;"",H103=""),"ERREUR mettre un n° de club","ERREUR mettre un n° de Licence"))))</f>
        <v/>
      </c>
      <c r="J103" s="22"/>
      <c r="K103" s="16" t="str">
        <f t="shared" ca="1" si="2"/>
        <v/>
      </c>
      <c r="L103" s="17" t="str">
        <f t="shared" ca="1" si="3"/>
        <v/>
      </c>
      <c r="M103" s="20"/>
      <c r="N103" s="20"/>
      <c r="O103" s="23"/>
    </row>
    <row r="104" spans="1:15" x14ac:dyDescent="0.25">
      <c r="A104" s="16" t="str">
        <f>IF(H104="","",IF(LOOKUP(H104,Clubs!B$2:C$201)="","",LOOKUP(H104,Clubs!B$2:C$201)))</f>
        <v/>
      </c>
      <c r="B104" s="17">
        <v>100</v>
      </c>
      <c r="C104" s="11" t="s">
        <v>126</v>
      </c>
      <c r="D104" s="27"/>
      <c r="E104" s="19"/>
      <c r="F104" s="19"/>
      <c r="G104" s="20"/>
      <c r="H104" s="21"/>
      <c r="I104" s="18" t="str">
        <f>IF(G104="NL","",IF(AND(G104&lt;&gt;"",H104&lt;&gt;""),LOOKUP(H104,Clubs!B$2:D$201),IF(AND(G104="",H104=""),"",IF(AND(G104&lt;&gt;"",H104=""),"ERREUR mettre un n° de club","ERREUR mettre un n° de Licence"))))</f>
        <v/>
      </c>
      <c r="J104" s="22"/>
      <c r="K104" s="16" t="str">
        <f t="shared" ca="1" si="2"/>
        <v/>
      </c>
      <c r="L104" s="17" t="str">
        <f t="shared" ca="1" si="3"/>
        <v/>
      </c>
      <c r="M104" s="20"/>
      <c r="N104" s="20"/>
      <c r="O104" s="23"/>
    </row>
    <row r="105" spans="1:15" x14ac:dyDescent="0.25">
      <c r="A105" s="16" t="str">
        <f>IF(H105="","",IF(LOOKUP(H105,Clubs!B$2:C$201)="","",LOOKUP(H105,Clubs!B$2:C$201)))</f>
        <v/>
      </c>
      <c r="B105" s="17">
        <v>101</v>
      </c>
      <c r="C105" s="11" t="s">
        <v>126</v>
      </c>
      <c r="D105" s="27"/>
      <c r="E105" s="19"/>
      <c r="F105" s="19"/>
      <c r="G105" s="20"/>
      <c r="H105" s="21"/>
      <c r="I105" s="18" t="str">
        <f>IF(G105="NL","",IF(AND(G105&lt;&gt;"",H105&lt;&gt;""),LOOKUP(H105,Clubs!B$2:D$201),IF(AND(G105="",H105=""),"",IF(AND(G105&lt;&gt;"",H105=""),"ERREUR mettre un n° de club","ERREUR mettre un n° de Licence"))))</f>
        <v/>
      </c>
      <c r="J105" s="22"/>
      <c r="K105" s="16" t="str">
        <f t="shared" ca="1" si="2"/>
        <v/>
      </c>
      <c r="L105" s="17" t="str">
        <f t="shared" ca="1" si="3"/>
        <v/>
      </c>
      <c r="M105" s="20"/>
      <c r="N105" s="20"/>
      <c r="O105" s="23"/>
    </row>
    <row r="106" spans="1:15" x14ac:dyDescent="0.25">
      <c r="A106" s="16" t="str">
        <f>IF(H106="","",IF(LOOKUP(H106,Clubs!B$2:C$201)="","",LOOKUP(H106,Clubs!B$2:C$201)))</f>
        <v/>
      </c>
      <c r="B106" s="17">
        <v>102</v>
      </c>
      <c r="C106" s="11" t="s">
        <v>126</v>
      </c>
      <c r="D106" s="27"/>
      <c r="E106" s="19"/>
      <c r="F106" s="19"/>
      <c r="G106" s="20"/>
      <c r="H106" s="21"/>
      <c r="I106" s="18" t="str">
        <f>IF(G106="NL","",IF(AND(G106&lt;&gt;"",H106&lt;&gt;""),LOOKUP(H106,Clubs!B$2:D$201),IF(AND(G106="",H106=""),"",IF(AND(G106&lt;&gt;"",H106=""),"ERREUR mettre un n° de club","ERREUR mettre un n° de Licence"))))</f>
        <v/>
      </c>
      <c r="J106" s="22"/>
      <c r="K106" s="16" t="str">
        <f t="shared" ca="1" si="2"/>
        <v/>
      </c>
      <c r="L106" s="17" t="str">
        <f t="shared" ca="1" si="3"/>
        <v/>
      </c>
      <c r="M106" s="20"/>
      <c r="N106" s="20"/>
      <c r="O106" s="23"/>
    </row>
    <row r="107" spans="1:15" x14ac:dyDescent="0.25">
      <c r="A107" s="16" t="str">
        <f>IF(H107="","",IF(LOOKUP(H107,Clubs!B$2:C$201)="","",LOOKUP(H107,Clubs!B$2:C$201)))</f>
        <v/>
      </c>
      <c r="B107" s="17">
        <v>103</v>
      </c>
      <c r="C107" s="11" t="s">
        <v>126</v>
      </c>
      <c r="D107" s="27"/>
      <c r="E107" s="19"/>
      <c r="F107" s="19"/>
      <c r="G107" s="20"/>
      <c r="H107" s="21"/>
      <c r="I107" s="18" t="str">
        <f>IF(G107="NL","",IF(AND(G107&lt;&gt;"",H107&lt;&gt;""),LOOKUP(H107,Clubs!B$2:D$201),IF(AND(G107="",H107=""),"",IF(AND(G107&lt;&gt;"",H107=""),"ERREUR mettre un n° de club","ERREUR mettre un n° de Licence"))))</f>
        <v/>
      </c>
      <c r="J107" s="22"/>
      <c r="K107" s="16" t="str">
        <f t="shared" ca="1" si="2"/>
        <v/>
      </c>
      <c r="L107" s="17" t="str">
        <f t="shared" ca="1" si="3"/>
        <v/>
      </c>
      <c r="M107" s="20"/>
      <c r="N107" s="20"/>
      <c r="O107" s="23"/>
    </row>
    <row r="108" spans="1:15" x14ac:dyDescent="0.25">
      <c r="A108" s="16" t="str">
        <f>IF(H108="","",IF(LOOKUP(H108,Clubs!B$2:C$201)="","",LOOKUP(H108,Clubs!B$2:C$201)))</f>
        <v/>
      </c>
      <c r="B108" s="17">
        <v>104</v>
      </c>
      <c r="C108" s="11" t="s">
        <v>126</v>
      </c>
      <c r="D108" s="27"/>
      <c r="E108" s="19"/>
      <c r="F108" s="19"/>
      <c r="G108" s="20"/>
      <c r="H108" s="21"/>
      <c r="I108" s="18" t="str">
        <f>IF(G108="NL","",IF(AND(G108&lt;&gt;"",H108&lt;&gt;""),LOOKUP(H108,Clubs!B$2:D$201),IF(AND(G108="",H108=""),"",IF(AND(G108&lt;&gt;"",H108=""),"ERREUR mettre un n° de club","ERREUR mettre un n° de Licence"))))</f>
        <v/>
      </c>
      <c r="J108" s="22"/>
      <c r="K108" s="16" t="str">
        <f t="shared" ca="1" si="2"/>
        <v/>
      </c>
      <c r="L108" s="17" t="str">
        <f t="shared" ca="1" si="3"/>
        <v/>
      </c>
      <c r="M108" s="20"/>
      <c r="N108" s="20"/>
      <c r="O108" s="23"/>
    </row>
    <row r="109" spans="1:15" x14ac:dyDescent="0.25">
      <c r="A109" s="16" t="str">
        <f>IF(H109="","",IF(LOOKUP(H109,Clubs!B$2:C$201)="","",LOOKUP(H109,Clubs!B$2:C$201)))</f>
        <v/>
      </c>
      <c r="B109" s="17">
        <v>105</v>
      </c>
      <c r="C109" s="11" t="s">
        <v>126</v>
      </c>
      <c r="D109" s="27"/>
      <c r="E109" s="19"/>
      <c r="F109" s="19"/>
      <c r="G109" s="20"/>
      <c r="H109" s="21"/>
      <c r="I109" s="18" t="str">
        <f>IF(G109="NL","",IF(AND(G109&lt;&gt;"",H109&lt;&gt;""),LOOKUP(H109,Clubs!B$2:D$201),IF(AND(G109="",H109=""),"",IF(AND(G109&lt;&gt;"",H109=""),"ERREUR mettre un n° de club","ERREUR mettre un n° de Licence"))))</f>
        <v/>
      </c>
      <c r="J109" s="22"/>
      <c r="K109" s="16" t="str">
        <f t="shared" ca="1" si="2"/>
        <v/>
      </c>
      <c r="L109" s="17" t="str">
        <f t="shared" ca="1" si="3"/>
        <v/>
      </c>
      <c r="M109" s="20"/>
      <c r="N109" s="20"/>
      <c r="O109" s="23"/>
    </row>
    <row r="110" spans="1:15" x14ac:dyDescent="0.25">
      <c r="A110" s="16" t="str">
        <f>IF(H110="","",IF(LOOKUP(H110,Clubs!B$2:C$201)="","",LOOKUP(H110,Clubs!B$2:C$201)))</f>
        <v/>
      </c>
      <c r="B110" s="17">
        <v>106</v>
      </c>
      <c r="C110" s="11" t="s">
        <v>126</v>
      </c>
      <c r="D110" s="27"/>
      <c r="E110" s="19"/>
      <c r="F110" s="19"/>
      <c r="G110" s="20"/>
      <c r="H110" s="21"/>
      <c r="I110" s="18" t="str">
        <f>IF(G110="NL","",IF(AND(G110&lt;&gt;"",H110&lt;&gt;""),LOOKUP(H110,Clubs!B$2:D$201),IF(AND(G110="",H110=""),"",IF(AND(G110&lt;&gt;"",H110=""),"ERREUR mettre un n° de club","ERREUR mettre un n° de Licence"))))</f>
        <v/>
      </c>
      <c r="J110" s="22"/>
      <c r="K110" s="16" t="str">
        <f t="shared" ca="1" si="2"/>
        <v/>
      </c>
      <c r="L110" s="17" t="str">
        <f t="shared" ca="1" si="3"/>
        <v/>
      </c>
      <c r="M110" s="20"/>
      <c r="N110" s="20"/>
      <c r="O110" s="23"/>
    </row>
    <row r="111" spans="1:15" x14ac:dyDescent="0.25">
      <c r="A111" s="16" t="str">
        <f>IF(H111="","",IF(LOOKUP(H111,Clubs!B$2:C$201)="","",LOOKUP(H111,Clubs!B$2:C$201)))</f>
        <v/>
      </c>
      <c r="B111" s="17">
        <v>107</v>
      </c>
      <c r="C111" s="11" t="s">
        <v>126</v>
      </c>
      <c r="D111" s="27"/>
      <c r="E111" s="19"/>
      <c r="F111" s="19"/>
      <c r="G111" s="20"/>
      <c r="H111" s="21"/>
      <c r="I111" s="18" t="str">
        <f>IF(G111="NL","",IF(AND(G111&lt;&gt;"",H111&lt;&gt;""),LOOKUP(H111,Clubs!B$2:D$201),IF(AND(G111="",H111=""),"",IF(AND(G111&lt;&gt;"",H111=""),"ERREUR mettre un n° de club","ERREUR mettre un n° de Licence"))))</f>
        <v/>
      </c>
      <c r="J111" s="22"/>
      <c r="K111" s="16" t="str">
        <f t="shared" ca="1" si="2"/>
        <v/>
      </c>
      <c r="L111" s="17" t="str">
        <f t="shared" ca="1" si="3"/>
        <v/>
      </c>
      <c r="M111" s="20"/>
      <c r="N111" s="20"/>
      <c r="O111" s="23"/>
    </row>
    <row r="112" spans="1:15" x14ac:dyDescent="0.25">
      <c r="A112" s="16" t="str">
        <f>IF(H112="","",IF(LOOKUP(H112,Clubs!B$2:C$201)="","",LOOKUP(H112,Clubs!B$2:C$201)))</f>
        <v/>
      </c>
      <c r="B112" s="17">
        <v>108</v>
      </c>
      <c r="C112" s="11" t="s">
        <v>126</v>
      </c>
      <c r="D112" s="27"/>
      <c r="E112" s="19"/>
      <c r="F112" s="19"/>
      <c r="G112" s="20"/>
      <c r="H112" s="21"/>
      <c r="I112" s="18" t="str">
        <f>IF(G112="NL","",IF(AND(G112&lt;&gt;"",H112&lt;&gt;""),LOOKUP(H112,Clubs!B$2:D$201),IF(AND(G112="",H112=""),"",IF(AND(G112&lt;&gt;"",H112=""),"ERREUR mettre un n° de club","ERREUR mettre un n° de Licence"))))</f>
        <v/>
      </c>
      <c r="J112" s="22"/>
      <c r="K112" s="16" t="str">
        <f t="shared" ca="1" si="2"/>
        <v/>
      </c>
      <c r="L112" s="17" t="str">
        <f t="shared" ca="1" si="3"/>
        <v/>
      </c>
      <c r="M112" s="20"/>
      <c r="N112" s="20"/>
      <c r="O112" s="23"/>
    </row>
    <row r="113" spans="1:15" x14ac:dyDescent="0.25">
      <c r="A113" s="16" t="str">
        <f>IF(H113="","",IF(LOOKUP(H113,Clubs!B$2:C$201)="","",LOOKUP(H113,Clubs!B$2:C$201)))</f>
        <v/>
      </c>
      <c r="B113" s="17">
        <v>109</v>
      </c>
      <c r="C113" s="11" t="s">
        <v>126</v>
      </c>
      <c r="D113" s="27"/>
      <c r="E113" s="19"/>
      <c r="F113" s="19"/>
      <c r="G113" s="20"/>
      <c r="H113" s="21"/>
      <c r="I113" s="18" t="str">
        <f>IF(G113="NL","",IF(AND(G113&lt;&gt;"",H113&lt;&gt;""),LOOKUP(H113,Clubs!B$2:D$201),IF(AND(G113="",H113=""),"",IF(AND(G113&lt;&gt;"",H113=""),"ERREUR mettre un n° de club","ERREUR mettre un n° de Licence"))))</f>
        <v/>
      </c>
      <c r="J113" s="22"/>
      <c r="K113" s="16" t="str">
        <f t="shared" ca="1" si="2"/>
        <v/>
      </c>
      <c r="L113" s="17" t="str">
        <f t="shared" ca="1" si="3"/>
        <v/>
      </c>
      <c r="M113" s="20"/>
      <c r="N113" s="20"/>
      <c r="O113" s="23"/>
    </row>
    <row r="114" spans="1:15" x14ac:dyDescent="0.25">
      <c r="A114" s="16" t="str">
        <f>IF(H114="","",IF(LOOKUP(H114,Clubs!B$2:C$201)="","",LOOKUP(H114,Clubs!B$2:C$201)))</f>
        <v/>
      </c>
      <c r="B114" s="17">
        <v>110</v>
      </c>
      <c r="C114" s="11" t="s">
        <v>126</v>
      </c>
      <c r="D114" s="27"/>
      <c r="E114" s="19"/>
      <c r="F114" s="19"/>
      <c r="G114" s="20"/>
      <c r="H114" s="21"/>
      <c r="I114" s="18" t="str">
        <f>IF(G114="NL","",IF(AND(G114&lt;&gt;"",H114&lt;&gt;""),LOOKUP(H114,Clubs!B$2:D$201),IF(AND(G114="",H114=""),"",IF(AND(G114&lt;&gt;"",H114=""),"ERREUR mettre un n° de club","ERREUR mettre un n° de Licence"))))</f>
        <v/>
      </c>
      <c r="J114" s="22"/>
      <c r="K114" s="16" t="str">
        <f t="shared" ca="1" si="2"/>
        <v/>
      </c>
      <c r="L114" s="17" t="str">
        <f t="shared" ca="1" si="3"/>
        <v/>
      </c>
      <c r="M114" s="20"/>
      <c r="N114" s="20"/>
      <c r="O114" s="23"/>
    </row>
    <row r="115" spans="1:15" x14ac:dyDescent="0.25">
      <c r="A115" s="16" t="str">
        <f>IF(H115="","",IF(LOOKUP(H115,Clubs!B$2:C$201)="","",LOOKUP(H115,Clubs!B$2:C$201)))</f>
        <v/>
      </c>
      <c r="B115" s="17">
        <v>111</v>
      </c>
      <c r="C115" s="11" t="s">
        <v>126</v>
      </c>
      <c r="D115" s="27"/>
      <c r="E115" s="19"/>
      <c r="F115" s="19"/>
      <c r="G115" s="20"/>
      <c r="H115" s="21"/>
      <c r="I115" s="18" t="str">
        <f>IF(G115="NL","",IF(AND(G115&lt;&gt;"",H115&lt;&gt;""),LOOKUP(H115,Clubs!B$2:D$201),IF(AND(G115="",H115=""),"",IF(AND(G115&lt;&gt;"",H115=""),"ERREUR mettre un n° de club","ERREUR mettre un n° de Licence"))))</f>
        <v/>
      </c>
      <c r="J115" s="22"/>
      <c r="K115" s="16" t="str">
        <f t="shared" ca="1" si="2"/>
        <v/>
      </c>
      <c r="L115" s="17" t="str">
        <f t="shared" ca="1" si="3"/>
        <v/>
      </c>
      <c r="M115" s="20"/>
      <c r="N115" s="20"/>
      <c r="O115" s="23"/>
    </row>
    <row r="116" spans="1:15" x14ac:dyDescent="0.25">
      <c r="A116" s="16" t="str">
        <f>IF(H116="","",IF(LOOKUP(H116,Clubs!B$2:C$201)="","",LOOKUP(H116,Clubs!B$2:C$201)))</f>
        <v/>
      </c>
      <c r="B116" s="17">
        <v>112</v>
      </c>
      <c r="C116" s="11" t="s">
        <v>126</v>
      </c>
      <c r="D116" s="27"/>
      <c r="E116" s="19"/>
      <c r="F116" s="19"/>
      <c r="G116" s="20"/>
      <c r="H116" s="21"/>
      <c r="I116" s="18" t="str">
        <f>IF(G116="NL","",IF(AND(G116&lt;&gt;"",H116&lt;&gt;""),LOOKUP(H116,Clubs!B$2:D$201),IF(AND(G116="",H116=""),"",IF(AND(G116&lt;&gt;"",H116=""),"ERREUR mettre un n° de club","ERREUR mettre un n° de Licence"))))</f>
        <v/>
      </c>
      <c r="J116" s="22"/>
      <c r="K116" s="16" t="str">
        <f t="shared" ca="1" si="2"/>
        <v/>
      </c>
      <c r="L116" s="17" t="str">
        <f t="shared" ca="1" si="3"/>
        <v/>
      </c>
      <c r="M116" s="20"/>
      <c r="N116" s="20"/>
      <c r="O116" s="23"/>
    </row>
    <row r="117" spans="1:15" x14ac:dyDescent="0.25">
      <c r="A117" s="16" t="str">
        <f>IF(H117="","",IF(LOOKUP(H117,Clubs!B$2:C$201)="","",LOOKUP(H117,Clubs!B$2:C$201)))</f>
        <v/>
      </c>
      <c r="B117" s="17">
        <v>113</v>
      </c>
      <c r="C117" s="11" t="s">
        <v>126</v>
      </c>
      <c r="D117" s="27"/>
      <c r="E117" s="19"/>
      <c r="F117" s="19"/>
      <c r="G117" s="20"/>
      <c r="H117" s="21"/>
      <c r="I117" s="18" t="str">
        <f>IF(G117="NL","",IF(AND(G117&lt;&gt;"",H117&lt;&gt;""),LOOKUP(H117,Clubs!B$2:D$201),IF(AND(G117="",H117=""),"",IF(AND(G117&lt;&gt;"",H117=""),"ERREUR mettre un n° de club","ERREUR mettre un n° de Licence"))))</f>
        <v/>
      </c>
      <c r="J117" s="22"/>
      <c r="K117" s="16" t="str">
        <f t="shared" ca="1" si="2"/>
        <v/>
      </c>
      <c r="L117" s="17" t="str">
        <f t="shared" ca="1" si="3"/>
        <v/>
      </c>
      <c r="M117" s="20"/>
      <c r="N117" s="20"/>
      <c r="O117" s="23"/>
    </row>
    <row r="118" spans="1:15" x14ac:dyDescent="0.25">
      <c r="A118" s="16" t="str">
        <f>IF(H118="","",IF(LOOKUP(H118,Clubs!B$2:C$201)="","",LOOKUP(H118,Clubs!B$2:C$201)))</f>
        <v/>
      </c>
      <c r="B118" s="17">
        <v>114</v>
      </c>
      <c r="C118" s="11" t="s">
        <v>126</v>
      </c>
      <c r="D118" s="27"/>
      <c r="E118" s="19"/>
      <c r="F118" s="19"/>
      <c r="G118" s="20"/>
      <c r="H118" s="21"/>
      <c r="I118" s="18" t="str">
        <f>IF(G118="NL","",IF(AND(G118&lt;&gt;"",H118&lt;&gt;""),LOOKUP(H118,Clubs!B$2:D$201),IF(AND(G118="",H118=""),"",IF(AND(G118&lt;&gt;"",H118=""),"ERREUR mettre un n° de club","ERREUR mettre un n° de Licence"))))</f>
        <v/>
      </c>
      <c r="J118" s="22"/>
      <c r="K118" s="16" t="str">
        <f t="shared" ca="1" si="2"/>
        <v/>
      </c>
      <c r="L118" s="17" t="str">
        <f t="shared" ca="1" si="3"/>
        <v/>
      </c>
      <c r="M118" s="20"/>
      <c r="N118" s="20"/>
      <c r="O118" s="23"/>
    </row>
    <row r="119" spans="1:15" x14ac:dyDescent="0.25">
      <c r="A119" s="16" t="str">
        <f>IF(H119="","",IF(LOOKUP(H119,Clubs!B$2:C$201)="","",LOOKUP(H119,Clubs!B$2:C$201)))</f>
        <v/>
      </c>
      <c r="B119" s="17">
        <v>115</v>
      </c>
      <c r="C119" s="11" t="s">
        <v>126</v>
      </c>
      <c r="D119" s="27"/>
      <c r="E119" s="19"/>
      <c r="F119" s="19"/>
      <c r="G119" s="20"/>
      <c r="H119" s="21"/>
      <c r="I119" s="18" t="str">
        <f>IF(G119="NL","",IF(AND(G119&lt;&gt;"",H119&lt;&gt;""),LOOKUP(H119,Clubs!B$2:D$201),IF(AND(G119="",H119=""),"",IF(AND(G119&lt;&gt;"",H119=""),"ERREUR mettre un n° de club","ERREUR mettre un n° de Licence"))))</f>
        <v/>
      </c>
      <c r="J119" s="22"/>
      <c r="K119" s="16" t="str">
        <f t="shared" ca="1" si="2"/>
        <v/>
      </c>
      <c r="L119" s="17" t="str">
        <f t="shared" ca="1" si="3"/>
        <v/>
      </c>
      <c r="M119" s="20"/>
      <c r="N119" s="20"/>
      <c r="O119" s="23"/>
    </row>
    <row r="120" spans="1:15" x14ac:dyDescent="0.25">
      <c r="A120" s="16" t="str">
        <f>IF(H120="","",IF(LOOKUP(H120,Clubs!B$2:C$201)="","",LOOKUP(H120,Clubs!B$2:C$201)))</f>
        <v/>
      </c>
      <c r="B120" s="17">
        <v>116</v>
      </c>
      <c r="C120" s="11" t="s">
        <v>126</v>
      </c>
      <c r="D120" s="27"/>
      <c r="E120" s="19"/>
      <c r="F120" s="19"/>
      <c r="G120" s="20"/>
      <c r="H120" s="21"/>
      <c r="I120" s="18" t="str">
        <f>IF(G120="NL","",IF(AND(G120&lt;&gt;"",H120&lt;&gt;""),LOOKUP(H120,Clubs!B$2:D$201),IF(AND(G120="",H120=""),"",IF(AND(G120&lt;&gt;"",H120=""),"ERREUR mettre un n° de club","ERREUR mettre un n° de Licence"))))</f>
        <v/>
      </c>
      <c r="J120" s="22"/>
      <c r="K120" s="16" t="str">
        <f t="shared" ca="1" si="2"/>
        <v/>
      </c>
      <c r="L120" s="17" t="str">
        <f t="shared" ca="1" si="3"/>
        <v/>
      </c>
      <c r="M120" s="20"/>
      <c r="N120" s="20"/>
      <c r="O120" s="23"/>
    </row>
    <row r="121" spans="1:15" x14ac:dyDescent="0.25">
      <c r="A121" s="16" t="str">
        <f>IF(H121="","",IF(LOOKUP(H121,Clubs!B$2:C$201)="","",LOOKUP(H121,Clubs!B$2:C$201)))</f>
        <v/>
      </c>
      <c r="B121" s="17">
        <v>117</v>
      </c>
      <c r="C121" s="11" t="s">
        <v>126</v>
      </c>
      <c r="D121" s="27"/>
      <c r="E121" s="19"/>
      <c r="F121" s="19"/>
      <c r="G121" s="20"/>
      <c r="H121" s="21"/>
      <c r="I121" s="18" t="str">
        <f>IF(G121="NL","",IF(AND(G121&lt;&gt;"",H121&lt;&gt;""),LOOKUP(H121,Clubs!B$2:D$201),IF(AND(G121="",H121=""),"",IF(AND(G121&lt;&gt;"",H121=""),"ERREUR mettre un n° de club","ERREUR mettre un n° de Licence"))))</f>
        <v/>
      </c>
      <c r="J121" s="22"/>
      <c r="K121" s="16" t="str">
        <f t="shared" ca="1" si="2"/>
        <v/>
      </c>
      <c r="L121" s="17" t="str">
        <f t="shared" ca="1" si="3"/>
        <v/>
      </c>
      <c r="M121" s="20"/>
      <c r="N121" s="20"/>
      <c r="O121" s="23"/>
    </row>
    <row r="122" spans="1:15" x14ac:dyDescent="0.25">
      <c r="A122" s="16" t="str">
        <f>IF(H122="","",IF(LOOKUP(H122,Clubs!B$2:C$201)="","",LOOKUP(H122,Clubs!B$2:C$201)))</f>
        <v/>
      </c>
      <c r="B122" s="17">
        <v>118</v>
      </c>
      <c r="C122" s="11" t="s">
        <v>126</v>
      </c>
      <c r="D122" s="27"/>
      <c r="E122" s="19"/>
      <c r="F122" s="19"/>
      <c r="G122" s="20"/>
      <c r="H122" s="21"/>
      <c r="I122" s="18" t="str">
        <f>IF(G122="NL","",IF(AND(G122&lt;&gt;"",H122&lt;&gt;""),LOOKUP(H122,Clubs!B$2:D$201),IF(AND(G122="",H122=""),"",IF(AND(G122&lt;&gt;"",H122=""),"ERREUR mettre un n° de club","ERREUR mettre un n° de Licence"))))</f>
        <v/>
      </c>
      <c r="J122" s="22"/>
      <c r="K122" s="16" t="str">
        <f t="shared" ca="1" si="2"/>
        <v/>
      </c>
      <c r="L122" s="17" t="str">
        <f t="shared" ca="1" si="3"/>
        <v/>
      </c>
      <c r="M122" s="20"/>
      <c r="N122" s="20"/>
      <c r="O122" s="23"/>
    </row>
    <row r="123" spans="1:15" x14ac:dyDescent="0.25">
      <c r="A123" s="16" t="str">
        <f>IF(H123="","",IF(LOOKUP(H123,Clubs!B$2:C$201)="","",LOOKUP(H123,Clubs!B$2:C$201)))</f>
        <v/>
      </c>
      <c r="B123" s="17">
        <v>119</v>
      </c>
      <c r="C123" s="11" t="s">
        <v>126</v>
      </c>
      <c r="D123" s="27"/>
      <c r="E123" s="19"/>
      <c r="F123" s="19"/>
      <c r="G123" s="20"/>
      <c r="H123" s="21"/>
      <c r="I123" s="18" t="str">
        <f>IF(G123="NL","",IF(AND(G123&lt;&gt;"",H123&lt;&gt;""),LOOKUP(H123,Clubs!B$2:D$201),IF(AND(G123="",H123=""),"",IF(AND(G123&lt;&gt;"",H123=""),"ERREUR mettre un n° de club","ERREUR mettre un n° de Licence"))))</f>
        <v/>
      </c>
      <c r="J123" s="22"/>
      <c r="K123" s="16" t="str">
        <f t="shared" ca="1" si="2"/>
        <v/>
      </c>
      <c r="L123" s="17" t="str">
        <f t="shared" ca="1" si="3"/>
        <v/>
      </c>
      <c r="M123" s="20"/>
      <c r="N123" s="20"/>
      <c r="O123" s="23"/>
    </row>
    <row r="124" spans="1:15" x14ac:dyDescent="0.25">
      <c r="A124" s="16" t="str">
        <f>IF(H124="","",IF(LOOKUP(H124,Clubs!B$2:C$201)="","",LOOKUP(H124,Clubs!B$2:C$201)))</f>
        <v/>
      </c>
      <c r="B124" s="17">
        <v>120</v>
      </c>
      <c r="C124" s="11" t="s">
        <v>126</v>
      </c>
      <c r="D124" s="27"/>
      <c r="E124" s="19"/>
      <c r="F124" s="19"/>
      <c r="G124" s="20"/>
      <c r="H124" s="21"/>
      <c r="I124" s="18" t="str">
        <f>IF(G124="NL","",IF(AND(G124&lt;&gt;"",H124&lt;&gt;""),LOOKUP(H124,Clubs!B$2:D$201),IF(AND(G124="",H124=""),"",IF(AND(G124&lt;&gt;"",H124=""),"ERREUR mettre un n° de club","ERREUR mettre un n° de Licence"))))</f>
        <v/>
      </c>
      <c r="J124" s="22"/>
      <c r="K124" s="16" t="str">
        <f t="shared" ca="1" si="2"/>
        <v/>
      </c>
      <c r="L124" s="17" t="str">
        <f t="shared" ca="1" si="3"/>
        <v/>
      </c>
      <c r="M124" s="20"/>
      <c r="N124" s="20"/>
      <c r="O124" s="23"/>
    </row>
    <row r="125" spans="1:15" x14ac:dyDescent="0.25">
      <c r="A125" s="16" t="str">
        <f>IF(H125="","",IF(LOOKUP(H125,Clubs!B$2:C$201)="","",LOOKUP(H125,Clubs!B$2:C$201)))</f>
        <v/>
      </c>
      <c r="B125" s="17">
        <v>121</v>
      </c>
      <c r="C125" s="11" t="s">
        <v>126</v>
      </c>
      <c r="D125" s="27"/>
      <c r="E125" s="19"/>
      <c r="F125" s="19"/>
      <c r="G125" s="20"/>
      <c r="H125" s="21"/>
      <c r="I125" s="18" t="str">
        <f>IF(G125="NL","",IF(AND(G125&lt;&gt;"",H125&lt;&gt;""),LOOKUP(H125,Clubs!B$2:D$201),IF(AND(G125="",H125=""),"",IF(AND(G125&lt;&gt;"",H125=""),"ERREUR mettre un n° de club","ERREUR mettre un n° de Licence"))))</f>
        <v/>
      </c>
      <c r="J125" s="22"/>
      <c r="K125" s="16" t="str">
        <f t="shared" ca="1" si="2"/>
        <v/>
      </c>
      <c r="L125" s="17" t="str">
        <f t="shared" ca="1" si="3"/>
        <v/>
      </c>
      <c r="M125" s="20"/>
      <c r="N125" s="20"/>
      <c r="O125" s="23"/>
    </row>
    <row r="126" spans="1:15" x14ac:dyDescent="0.25">
      <c r="A126" s="16" t="str">
        <f>IF(H126="","",IF(LOOKUP(H126,Clubs!B$2:C$201)="","",LOOKUP(H126,Clubs!B$2:C$201)))</f>
        <v/>
      </c>
      <c r="B126" s="17">
        <v>122</v>
      </c>
      <c r="C126" s="11" t="s">
        <v>126</v>
      </c>
      <c r="D126" s="27"/>
      <c r="E126" s="19"/>
      <c r="F126" s="19"/>
      <c r="G126" s="20"/>
      <c r="H126" s="21"/>
      <c r="I126" s="18" t="str">
        <f>IF(G126="NL","",IF(AND(G126&lt;&gt;"",H126&lt;&gt;""),LOOKUP(H126,Clubs!B$2:D$201),IF(AND(G126="",H126=""),"",IF(AND(G126&lt;&gt;"",H126=""),"ERREUR mettre un n° de club","ERREUR mettre un n° de Licence"))))</f>
        <v/>
      </c>
      <c r="J126" s="22"/>
      <c r="K126" s="16" t="str">
        <f t="shared" ca="1" si="2"/>
        <v/>
      </c>
      <c r="L126" s="17" t="str">
        <f t="shared" ca="1" si="3"/>
        <v/>
      </c>
      <c r="M126" s="20"/>
      <c r="N126" s="20"/>
      <c r="O126" s="23"/>
    </row>
    <row r="127" spans="1:15" x14ac:dyDescent="0.25">
      <c r="A127" s="16" t="str">
        <f>IF(H127="","",IF(LOOKUP(H127,Clubs!B$2:C$201)="","",LOOKUP(H127,Clubs!B$2:C$201)))</f>
        <v/>
      </c>
      <c r="B127" s="17">
        <v>123</v>
      </c>
      <c r="C127" s="11" t="s">
        <v>126</v>
      </c>
      <c r="D127" s="27"/>
      <c r="E127" s="19"/>
      <c r="F127" s="19"/>
      <c r="G127" s="20"/>
      <c r="H127" s="21"/>
      <c r="I127" s="18" t="str">
        <f>IF(G127="NL","",IF(AND(G127&lt;&gt;"",H127&lt;&gt;""),LOOKUP(H127,Clubs!B$2:D$201),IF(AND(G127="",H127=""),"",IF(AND(G127&lt;&gt;"",H127=""),"ERREUR mettre un n° de club","ERREUR mettre un n° de Licence"))))</f>
        <v/>
      </c>
      <c r="J127" s="22"/>
      <c r="K127" s="16" t="str">
        <f t="shared" ca="1" si="2"/>
        <v/>
      </c>
      <c r="L127" s="17" t="str">
        <f t="shared" ca="1" si="3"/>
        <v/>
      </c>
      <c r="M127" s="20"/>
      <c r="N127" s="20"/>
      <c r="O127" s="23"/>
    </row>
    <row r="128" spans="1:15" x14ac:dyDescent="0.25">
      <c r="A128" s="16" t="str">
        <f>IF(H128="","",IF(LOOKUP(H128,Clubs!B$2:C$201)="","",LOOKUP(H128,Clubs!B$2:C$201)))</f>
        <v/>
      </c>
      <c r="B128" s="17">
        <v>124</v>
      </c>
      <c r="C128" s="11" t="s">
        <v>126</v>
      </c>
      <c r="D128" s="27"/>
      <c r="E128" s="19"/>
      <c r="F128" s="19"/>
      <c r="G128" s="20"/>
      <c r="H128" s="21"/>
      <c r="I128" s="18" t="str">
        <f>IF(G128="NL","",IF(AND(G128&lt;&gt;"",H128&lt;&gt;""),LOOKUP(H128,Clubs!B$2:D$201),IF(AND(G128="",H128=""),"",IF(AND(G128&lt;&gt;"",H128=""),"ERREUR mettre un n° de club","ERREUR mettre un n° de Licence"))))</f>
        <v/>
      </c>
      <c r="J128" s="22"/>
      <c r="K128" s="16" t="str">
        <f t="shared" ca="1" si="2"/>
        <v/>
      </c>
      <c r="L128" s="17" t="str">
        <f t="shared" ca="1" si="3"/>
        <v/>
      </c>
      <c r="M128" s="20"/>
      <c r="N128" s="20"/>
      <c r="O128" s="23"/>
    </row>
    <row r="129" spans="1:15" x14ac:dyDescent="0.25">
      <c r="A129" s="16" t="str">
        <f>IF(H129="","",IF(LOOKUP(H129,Clubs!B$2:C$201)="","",LOOKUP(H129,Clubs!B$2:C$201)))</f>
        <v/>
      </c>
      <c r="B129" s="17">
        <v>125</v>
      </c>
      <c r="C129" s="11" t="s">
        <v>126</v>
      </c>
      <c r="D129" s="27"/>
      <c r="E129" s="19"/>
      <c r="F129" s="19"/>
      <c r="G129" s="20"/>
      <c r="H129" s="21"/>
      <c r="I129" s="18" t="str">
        <f>IF(G129="NL","",IF(AND(G129&lt;&gt;"",H129&lt;&gt;""),LOOKUP(H129,Clubs!B$2:D$201),IF(AND(G129="",H129=""),"",IF(AND(G129&lt;&gt;"",H129=""),"ERREUR mettre un n° de club","ERREUR mettre un n° de Licence"))))</f>
        <v/>
      </c>
      <c r="J129" s="22"/>
      <c r="K129" s="16" t="str">
        <f t="shared" ca="1" si="2"/>
        <v/>
      </c>
      <c r="L129" s="17" t="str">
        <f t="shared" ca="1" si="3"/>
        <v/>
      </c>
      <c r="M129" s="20"/>
      <c r="N129" s="20"/>
      <c r="O129" s="23"/>
    </row>
    <row r="130" spans="1:15" x14ac:dyDescent="0.25">
      <c r="A130" s="16" t="str">
        <f>IF(H130="","",IF(LOOKUP(H130,Clubs!B$2:C$201)="","",LOOKUP(H130,Clubs!B$2:C$201)))</f>
        <v/>
      </c>
      <c r="B130" s="17">
        <v>126</v>
      </c>
      <c r="C130" s="11" t="s">
        <v>126</v>
      </c>
      <c r="D130" s="27"/>
      <c r="E130" s="19"/>
      <c r="F130" s="19"/>
      <c r="G130" s="20"/>
      <c r="H130" s="21"/>
      <c r="I130" s="18" t="str">
        <f>IF(G130="NL","",IF(AND(G130&lt;&gt;"",H130&lt;&gt;""),LOOKUP(H130,Clubs!B$2:D$201),IF(AND(G130="",H130=""),"",IF(AND(G130&lt;&gt;"",H130=""),"ERREUR mettre un n° de club","ERREUR mettre un n° de Licence"))))</f>
        <v/>
      </c>
      <c r="J130" s="22"/>
      <c r="K130" s="16" t="str">
        <f t="shared" ca="1" si="2"/>
        <v/>
      </c>
      <c r="L130" s="17" t="str">
        <f t="shared" ca="1" si="3"/>
        <v/>
      </c>
      <c r="M130" s="20"/>
      <c r="N130" s="20"/>
      <c r="O130" s="23"/>
    </row>
    <row r="131" spans="1:15" x14ac:dyDescent="0.25">
      <c r="A131" s="16" t="str">
        <f>IF(H131="","",IF(LOOKUP(H131,Clubs!B$2:C$201)="","",LOOKUP(H131,Clubs!B$2:C$201)))</f>
        <v/>
      </c>
      <c r="B131" s="17">
        <v>127</v>
      </c>
      <c r="C131" s="11" t="s">
        <v>126</v>
      </c>
      <c r="D131" s="27"/>
      <c r="E131" s="19"/>
      <c r="F131" s="19"/>
      <c r="G131" s="20"/>
      <c r="H131" s="21"/>
      <c r="I131" s="18" t="str">
        <f>IF(G131="NL","",IF(AND(G131&lt;&gt;"",H131&lt;&gt;""),LOOKUP(H131,Clubs!B$2:D$201),IF(AND(G131="",H131=""),"",IF(AND(G131&lt;&gt;"",H131=""),"ERREUR mettre un n° de club","ERREUR mettre un n° de Licence"))))</f>
        <v/>
      </c>
      <c r="J131" s="22"/>
      <c r="K131" s="16" t="str">
        <f t="shared" ca="1" si="2"/>
        <v/>
      </c>
      <c r="L131" s="17" t="str">
        <f t="shared" ca="1" si="3"/>
        <v/>
      </c>
      <c r="M131" s="20"/>
      <c r="N131" s="20"/>
      <c r="O131" s="23"/>
    </row>
    <row r="132" spans="1:15" x14ac:dyDescent="0.25">
      <c r="A132" s="16" t="str">
        <f>IF(H132="","",IF(LOOKUP(H132,Clubs!B$2:C$201)="","",LOOKUP(H132,Clubs!B$2:C$201)))</f>
        <v/>
      </c>
      <c r="B132" s="17">
        <v>128</v>
      </c>
      <c r="C132" s="11" t="s">
        <v>126</v>
      </c>
      <c r="D132" s="27"/>
      <c r="E132" s="19"/>
      <c r="F132" s="19"/>
      <c r="G132" s="20"/>
      <c r="H132" s="21"/>
      <c r="I132" s="18" t="str">
        <f>IF(G132="NL","",IF(AND(G132&lt;&gt;"",H132&lt;&gt;""),LOOKUP(H132,Clubs!B$2:D$201),IF(AND(G132="",H132=""),"",IF(AND(G132&lt;&gt;"",H132=""),"ERREUR mettre un n° de club","ERREUR mettre un n° de Licence"))))</f>
        <v/>
      </c>
      <c r="J132" s="22"/>
      <c r="K132" s="16" t="str">
        <f t="shared" ca="1" si="2"/>
        <v/>
      </c>
      <c r="L132" s="17" t="str">
        <f t="shared" ca="1" si="3"/>
        <v/>
      </c>
      <c r="M132" s="20"/>
      <c r="N132" s="20"/>
      <c r="O132" s="23"/>
    </row>
    <row r="133" spans="1:15" x14ac:dyDescent="0.25">
      <c r="A133" s="16" t="str">
        <f>IF(H133="","",IF(LOOKUP(H133,Clubs!B$2:C$201)="","",LOOKUP(H133,Clubs!B$2:C$201)))</f>
        <v/>
      </c>
      <c r="B133" s="17">
        <v>129</v>
      </c>
      <c r="C133" s="11" t="s">
        <v>126</v>
      </c>
      <c r="D133" s="27"/>
      <c r="E133" s="19"/>
      <c r="F133" s="19"/>
      <c r="G133" s="20"/>
      <c r="H133" s="21"/>
      <c r="I133" s="18" t="str">
        <f>IF(G133="NL","",IF(AND(G133&lt;&gt;"",H133&lt;&gt;""),LOOKUP(H133,Clubs!B$2:D$201),IF(AND(G133="",H133=""),"",IF(AND(G133&lt;&gt;"",H133=""),"ERREUR mettre un n° de club","ERREUR mettre un n° de Licence"))))</f>
        <v/>
      </c>
      <c r="J133" s="22"/>
      <c r="K133" s="16" t="str">
        <f t="shared" ca="1" si="2"/>
        <v/>
      </c>
      <c r="L133" s="17" t="str">
        <f t="shared" ca="1" si="3"/>
        <v/>
      </c>
      <c r="M133" s="20"/>
      <c r="N133" s="20"/>
      <c r="O133" s="23"/>
    </row>
    <row r="134" spans="1:15" x14ac:dyDescent="0.25">
      <c r="A134" s="16" t="str">
        <f>IF(H134="","",IF(LOOKUP(H134,Clubs!B$2:C$201)="","",LOOKUP(H134,Clubs!B$2:C$201)))</f>
        <v/>
      </c>
      <c r="B134" s="17">
        <v>130</v>
      </c>
      <c r="C134" s="11" t="s">
        <v>126</v>
      </c>
      <c r="D134" s="27"/>
      <c r="E134" s="19"/>
      <c r="F134" s="19"/>
      <c r="G134" s="20"/>
      <c r="H134" s="21"/>
      <c r="I134" s="18" t="str">
        <f>IF(G134="NL","",IF(AND(G134&lt;&gt;"",H134&lt;&gt;""),LOOKUP(H134,Clubs!B$2:D$201),IF(AND(G134="",H134=""),"",IF(AND(G134&lt;&gt;"",H134=""),"ERREUR mettre un n° de club","ERREUR mettre un n° de Licence"))))</f>
        <v/>
      </c>
      <c r="J134" s="22"/>
      <c r="K134" s="16" t="str">
        <f t="shared" ref="K134:K197" ca="1" si="4">IF(J134="","",YEAR(TODAY())-YEAR(J134))</f>
        <v/>
      </c>
      <c r="L134" s="17" t="str">
        <f t="shared" ref="L134:L197" ca="1" si="5">IF(K134="","",IF(K134&lt;13,"PUPILLE",IF(AND(K134&gt;12,K134&lt;15),"MINIME",IF(AND(K134&gt;14,K134&lt;17),"CADET",IF(AND(K134&gt;15,K134&lt;19),"JUNIOR","SENIOR")))))</f>
        <v/>
      </c>
      <c r="M134" s="20"/>
      <c r="N134" s="20"/>
      <c r="O134" s="23"/>
    </row>
    <row r="135" spans="1:15" x14ac:dyDescent="0.25">
      <c r="A135" s="16" t="str">
        <f>IF(H135="","",IF(LOOKUP(H135,Clubs!B$2:C$201)="","",LOOKUP(H135,Clubs!B$2:C$201)))</f>
        <v/>
      </c>
      <c r="B135" s="17">
        <v>131</v>
      </c>
      <c r="C135" s="11" t="s">
        <v>126</v>
      </c>
      <c r="D135" s="27"/>
      <c r="E135" s="19"/>
      <c r="F135" s="19"/>
      <c r="G135" s="20"/>
      <c r="H135" s="21"/>
      <c r="I135" s="18" t="str">
        <f>IF(G135="NL","",IF(AND(G135&lt;&gt;"",H135&lt;&gt;""),LOOKUP(H135,Clubs!B$2:D$201),IF(AND(G135="",H135=""),"",IF(AND(G135&lt;&gt;"",H135=""),"ERREUR mettre un n° de club","ERREUR mettre un n° de Licence"))))</f>
        <v/>
      </c>
      <c r="J135" s="22"/>
      <c r="K135" s="16" t="str">
        <f t="shared" ca="1" si="4"/>
        <v/>
      </c>
      <c r="L135" s="17" t="str">
        <f t="shared" ca="1" si="5"/>
        <v/>
      </c>
      <c r="M135" s="20"/>
      <c r="N135" s="20"/>
      <c r="O135" s="23"/>
    </row>
    <row r="136" spans="1:15" x14ac:dyDescent="0.25">
      <c r="A136" s="16" t="str">
        <f>IF(H136="","",IF(LOOKUP(H136,Clubs!B$2:C$201)="","",LOOKUP(H136,Clubs!B$2:C$201)))</f>
        <v/>
      </c>
      <c r="B136" s="17">
        <v>132</v>
      </c>
      <c r="C136" s="11" t="s">
        <v>126</v>
      </c>
      <c r="D136" s="27"/>
      <c r="E136" s="19"/>
      <c r="F136" s="19"/>
      <c r="G136" s="20"/>
      <c r="H136" s="21"/>
      <c r="I136" s="18" t="str">
        <f>IF(G136="NL","",IF(AND(G136&lt;&gt;"",H136&lt;&gt;""),LOOKUP(H136,Clubs!B$2:D$201),IF(AND(G136="",H136=""),"",IF(AND(G136&lt;&gt;"",H136=""),"ERREUR mettre un n° de club","ERREUR mettre un n° de Licence"))))</f>
        <v/>
      </c>
      <c r="J136" s="22"/>
      <c r="K136" s="16" t="str">
        <f t="shared" ca="1" si="4"/>
        <v/>
      </c>
      <c r="L136" s="17" t="str">
        <f t="shared" ca="1" si="5"/>
        <v/>
      </c>
      <c r="M136" s="20"/>
      <c r="N136" s="20"/>
      <c r="O136" s="23"/>
    </row>
    <row r="137" spans="1:15" x14ac:dyDescent="0.25">
      <c r="A137" s="16" t="str">
        <f>IF(H137="","",IF(LOOKUP(H137,Clubs!B$2:C$201)="","",LOOKUP(H137,Clubs!B$2:C$201)))</f>
        <v/>
      </c>
      <c r="B137" s="17">
        <v>133</v>
      </c>
      <c r="C137" s="11" t="s">
        <v>126</v>
      </c>
      <c r="D137" s="27"/>
      <c r="E137" s="19"/>
      <c r="F137" s="19"/>
      <c r="G137" s="20"/>
      <c r="H137" s="21"/>
      <c r="I137" s="18" t="str">
        <f>IF(G137="NL","",IF(AND(G137&lt;&gt;"",H137&lt;&gt;""),LOOKUP(H137,Clubs!B$2:D$201),IF(AND(G137="",H137=""),"",IF(AND(G137&lt;&gt;"",H137=""),"ERREUR mettre un n° de club","ERREUR mettre un n° de Licence"))))</f>
        <v/>
      </c>
      <c r="J137" s="22"/>
      <c r="K137" s="16" t="str">
        <f t="shared" ca="1" si="4"/>
        <v/>
      </c>
      <c r="L137" s="17" t="str">
        <f t="shared" ca="1" si="5"/>
        <v/>
      </c>
      <c r="M137" s="20"/>
      <c r="N137" s="20"/>
      <c r="O137" s="23"/>
    </row>
    <row r="138" spans="1:15" x14ac:dyDescent="0.25">
      <c r="A138" s="16" t="str">
        <f>IF(H138="","",IF(LOOKUP(H138,Clubs!B$2:C$201)="","",LOOKUP(H138,Clubs!B$2:C$201)))</f>
        <v/>
      </c>
      <c r="B138" s="17">
        <v>134</v>
      </c>
      <c r="C138" s="11" t="s">
        <v>126</v>
      </c>
      <c r="D138" s="27"/>
      <c r="E138" s="19"/>
      <c r="F138" s="19"/>
      <c r="G138" s="20"/>
      <c r="H138" s="21"/>
      <c r="I138" s="18" t="str">
        <f>IF(G138="NL","",IF(AND(G138&lt;&gt;"",H138&lt;&gt;""),LOOKUP(H138,Clubs!B$2:D$201),IF(AND(G138="",H138=""),"",IF(AND(G138&lt;&gt;"",H138=""),"ERREUR mettre un n° de club","ERREUR mettre un n° de Licence"))))</f>
        <v/>
      </c>
      <c r="J138" s="22"/>
      <c r="K138" s="16" t="str">
        <f t="shared" ca="1" si="4"/>
        <v/>
      </c>
      <c r="L138" s="17" t="str">
        <f t="shared" ca="1" si="5"/>
        <v/>
      </c>
      <c r="M138" s="20"/>
      <c r="N138" s="20"/>
      <c r="O138" s="23"/>
    </row>
    <row r="139" spans="1:15" x14ac:dyDescent="0.25">
      <c r="A139" s="16" t="str">
        <f>IF(H139="","",IF(LOOKUP(H139,Clubs!B$2:C$201)="","",LOOKUP(H139,Clubs!B$2:C$201)))</f>
        <v/>
      </c>
      <c r="B139" s="17">
        <v>135</v>
      </c>
      <c r="C139" s="11" t="s">
        <v>126</v>
      </c>
      <c r="D139" s="27"/>
      <c r="E139" s="19"/>
      <c r="F139" s="19"/>
      <c r="G139" s="20"/>
      <c r="H139" s="21"/>
      <c r="I139" s="18" t="str">
        <f>IF(G139="NL","",IF(AND(G139&lt;&gt;"",H139&lt;&gt;""),LOOKUP(H139,Clubs!B$2:D$201),IF(AND(G139="",H139=""),"",IF(AND(G139&lt;&gt;"",H139=""),"ERREUR mettre un n° de club","ERREUR mettre un n° de Licence"))))</f>
        <v/>
      </c>
      <c r="J139" s="22"/>
      <c r="K139" s="16" t="str">
        <f t="shared" ca="1" si="4"/>
        <v/>
      </c>
      <c r="L139" s="17" t="str">
        <f t="shared" ca="1" si="5"/>
        <v/>
      </c>
      <c r="M139" s="20"/>
      <c r="N139" s="20"/>
      <c r="O139" s="23"/>
    </row>
    <row r="140" spans="1:15" x14ac:dyDescent="0.25">
      <c r="A140" s="16" t="str">
        <f>IF(H140="","",IF(LOOKUP(H140,Clubs!B$2:C$201)="","",LOOKUP(H140,Clubs!B$2:C$201)))</f>
        <v/>
      </c>
      <c r="B140" s="17">
        <v>136</v>
      </c>
      <c r="C140" s="11" t="s">
        <v>126</v>
      </c>
      <c r="D140" s="27"/>
      <c r="E140" s="19"/>
      <c r="F140" s="19"/>
      <c r="G140" s="20"/>
      <c r="H140" s="21"/>
      <c r="I140" s="18" t="str">
        <f>IF(G140="NL","",IF(AND(G140&lt;&gt;"",H140&lt;&gt;""),LOOKUP(H140,Clubs!B$2:D$201),IF(AND(G140="",H140=""),"",IF(AND(G140&lt;&gt;"",H140=""),"ERREUR mettre un n° de club","ERREUR mettre un n° de Licence"))))</f>
        <v/>
      </c>
      <c r="J140" s="22"/>
      <c r="K140" s="16" t="str">
        <f t="shared" ca="1" si="4"/>
        <v/>
      </c>
      <c r="L140" s="17" t="str">
        <f t="shared" ca="1" si="5"/>
        <v/>
      </c>
      <c r="M140" s="20"/>
      <c r="N140" s="20"/>
      <c r="O140" s="23"/>
    </row>
    <row r="141" spans="1:15" x14ac:dyDescent="0.25">
      <c r="A141" s="16" t="str">
        <f>IF(H141="","",IF(LOOKUP(H141,Clubs!B$2:C$201)="","",LOOKUP(H141,Clubs!B$2:C$201)))</f>
        <v/>
      </c>
      <c r="B141" s="17">
        <v>137</v>
      </c>
      <c r="C141" s="11" t="s">
        <v>126</v>
      </c>
      <c r="D141" s="27"/>
      <c r="E141" s="19"/>
      <c r="F141" s="19"/>
      <c r="G141" s="20"/>
      <c r="H141" s="21"/>
      <c r="I141" s="18" t="str">
        <f>IF(G141="NL","",IF(AND(G141&lt;&gt;"",H141&lt;&gt;""),LOOKUP(H141,Clubs!B$2:D$201),IF(AND(G141="",H141=""),"",IF(AND(G141&lt;&gt;"",H141=""),"ERREUR mettre un n° de club","ERREUR mettre un n° de Licence"))))</f>
        <v/>
      </c>
      <c r="J141" s="22"/>
      <c r="K141" s="16" t="str">
        <f t="shared" ca="1" si="4"/>
        <v/>
      </c>
      <c r="L141" s="17" t="str">
        <f t="shared" ca="1" si="5"/>
        <v/>
      </c>
      <c r="M141" s="20"/>
      <c r="N141" s="20"/>
      <c r="O141" s="23"/>
    </row>
    <row r="142" spans="1:15" x14ac:dyDescent="0.25">
      <c r="A142" s="16" t="str">
        <f>IF(H142="","",IF(LOOKUP(H142,Clubs!B$2:C$201)="","",LOOKUP(H142,Clubs!B$2:C$201)))</f>
        <v/>
      </c>
      <c r="B142" s="17">
        <v>138</v>
      </c>
      <c r="C142" s="11" t="s">
        <v>126</v>
      </c>
      <c r="D142" s="27"/>
      <c r="E142" s="19"/>
      <c r="F142" s="19"/>
      <c r="G142" s="20"/>
      <c r="H142" s="21"/>
      <c r="I142" s="18" t="str">
        <f>IF(G142="NL","",IF(AND(G142&lt;&gt;"",H142&lt;&gt;""),LOOKUP(H142,Clubs!B$2:D$201),IF(AND(G142="",H142=""),"",IF(AND(G142&lt;&gt;"",H142=""),"ERREUR mettre un n° de club","ERREUR mettre un n° de Licence"))))</f>
        <v/>
      </c>
      <c r="J142" s="22"/>
      <c r="K142" s="16" t="str">
        <f t="shared" ca="1" si="4"/>
        <v/>
      </c>
      <c r="L142" s="17" t="str">
        <f t="shared" ca="1" si="5"/>
        <v/>
      </c>
      <c r="M142" s="20"/>
      <c r="N142" s="20"/>
      <c r="O142" s="23"/>
    </row>
    <row r="143" spans="1:15" x14ac:dyDescent="0.25">
      <c r="A143" s="16" t="str">
        <f>IF(H143="","",IF(LOOKUP(H143,Clubs!B$2:C$201)="","",LOOKUP(H143,Clubs!B$2:C$201)))</f>
        <v/>
      </c>
      <c r="B143" s="17">
        <v>139</v>
      </c>
      <c r="C143" s="11" t="s">
        <v>126</v>
      </c>
      <c r="D143" s="27"/>
      <c r="E143" s="19"/>
      <c r="F143" s="19"/>
      <c r="G143" s="20"/>
      <c r="H143" s="21"/>
      <c r="I143" s="18" t="str">
        <f>IF(G143="NL","",IF(AND(G143&lt;&gt;"",H143&lt;&gt;""),LOOKUP(H143,Clubs!B$2:D$201),IF(AND(G143="",H143=""),"",IF(AND(G143&lt;&gt;"",H143=""),"ERREUR mettre un n° de club","ERREUR mettre un n° de Licence"))))</f>
        <v/>
      </c>
      <c r="J143" s="22"/>
      <c r="K143" s="16" t="str">
        <f t="shared" ca="1" si="4"/>
        <v/>
      </c>
      <c r="L143" s="17" t="str">
        <f t="shared" ca="1" si="5"/>
        <v/>
      </c>
      <c r="M143" s="20"/>
      <c r="N143" s="20"/>
      <c r="O143" s="23"/>
    </row>
    <row r="144" spans="1:15" x14ac:dyDescent="0.25">
      <c r="A144" s="16" t="str">
        <f>IF(H144="","",IF(LOOKUP(H144,Clubs!B$2:C$201)="","",LOOKUP(H144,Clubs!B$2:C$201)))</f>
        <v/>
      </c>
      <c r="B144" s="17">
        <v>140</v>
      </c>
      <c r="C144" s="11" t="s">
        <v>126</v>
      </c>
      <c r="D144" s="27"/>
      <c r="E144" s="19"/>
      <c r="F144" s="19"/>
      <c r="G144" s="20"/>
      <c r="H144" s="21"/>
      <c r="I144" s="18" t="str">
        <f>IF(G144="NL","",IF(AND(G144&lt;&gt;"",H144&lt;&gt;""),LOOKUP(H144,Clubs!B$2:D$201),IF(AND(G144="",H144=""),"",IF(AND(G144&lt;&gt;"",H144=""),"ERREUR mettre un n° de club","ERREUR mettre un n° de Licence"))))</f>
        <v/>
      </c>
      <c r="J144" s="22"/>
      <c r="K144" s="16" t="str">
        <f t="shared" ca="1" si="4"/>
        <v/>
      </c>
      <c r="L144" s="17" t="str">
        <f t="shared" ca="1" si="5"/>
        <v/>
      </c>
      <c r="M144" s="20"/>
      <c r="N144" s="20"/>
      <c r="O144" s="23"/>
    </row>
    <row r="145" spans="1:15" x14ac:dyDescent="0.25">
      <c r="A145" s="16" t="str">
        <f>IF(H145="","",IF(LOOKUP(H145,Clubs!B$2:C$201)="","",LOOKUP(H145,Clubs!B$2:C$201)))</f>
        <v/>
      </c>
      <c r="B145" s="17">
        <v>141</v>
      </c>
      <c r="C145" s="11" t="s">
        <v>126</v>
      </c>
      <c r="D145" s="27"/>
      <c r="E145" s="19"/>
      <c r="F145" s="19"/>
      <c r="G145" s="20"/>
      <c r="H145" s="21"/>
      <c r="I145" s="18" t="str">
        <f>IF(G145="NL","",IF(AND(G145&lt;&gt;"",H145&lt;&gt;""),LOOKUP(H145,Clubs!B$2:D$201),IF(AND(G145="",H145=""),"",IF(AND(G145&lt;&gt;"",H145=""),"ERREUR mettre un n° de club","ERREUR mettre un n° de Licence"))))</f>
        <v/>
      </c>
      <c r="J145" s="22"/>
      <c r="K145" s="16" t="str">
        <f t="shared" ca="1" si="4"/>
        <v/>
      </c>
      <c r="L145" s="17" t="str">
        <f t="shared" ca="1" si="5"/>
        <v/>
      </c>
      <c r="M145" s="20"/>
      <c r="N145" s="20"/>
      <c r="O145" s="23"/>
    </row>
    <row r="146" spans="1:15" x14ac:dyDescent="0.25">
      <c r="A146" s="16" t="str">
        <f>IF(H146="","",IF(LOOKUP(H146,Clubs!B$2:C$201)="","",LOOKUP(H146,Clubs!B$2:C$201)))</f>
        <v/>
      </c>
      <c r="B146" s="17">
        <v>142</v>
      </c>
      <c r="C146" s="11" t="s">
        <v>126</v>
      </c>
      <c r="D146" s="27"/>
      <c r="E146" s="19"/>
      <c r="F146" s="19"/>
      <c r="G146" s="20"/>
      <c r="H146" s="21"/>
      <c r="I146" s="18" t="str">
        <f>IF(G146="NL","",IF(AND(G146&lt;&gt;"",H146&lt;&gt;""),LOOKUP(H146,Clubs!B$2:D$201),IF(AND(G146="",H146=""),"",IF(AND(G146&lt;&gt;"",H146=""),"ERREUR mettre un n° de club","ERREUR mettre un n° de Licence"))))</f>
        <v/>
      </c>
      <c r="J146" s="22"/>
      <c r="K146" s="16" t="str">
        <f t="shared" ca="1" si="4"/>
        <v/>
      </c>
      <c r="L146" s="17" t="str">
        <f t="shared" ca="1" si="5"/>
        <v/>
      </c>
      <c r="M146" s="20"/>
      <c r="N146" s="20"/>
      <c r="O146" s="23"/>
    </row>
    <row r="147" spans="1:15" x14ac:dyDescent="0.25">
      <c r="A147" s="16" t="str">
        <f>IF(H147="","",IF(LOOKUP(H147,Clubs!B$2:C$201)="","",LOOKUP(H147,Clubs!B$2:C$201)))</f>
        <v/>
      </c>
      <c r="B147" s="17">
        <v>143</v>
      </c>
      <c r="C147" s="11" t="s">
        <v>126</v>
      </c>
      <c r="D147" s="27"/>
      <c r="E147" s="19"/>
      <c r="F147" s="19"/>
      <c r="G147" s="20"/>
      <c r="H147" s="21"/>
      <c r="I147" s="18" t="str">
        <f>IF(G147="NL","",IF(AND(G147&lt;&gt;"",H147&lt;&gt;""),LOOKUP(H147,Clubs!B$2:D$201),IF(AND(G147="",H147=""),"",IF(AND(G147&lt;&gt;"",H147=""),"ERREUR mettre un n° de club","ERREUR mettre un n° de Licence"))))</f>
        <v/>
      </c>
      <c r="J147" s="22"/>
      <c r="K147" s="16" t="str">
        <f t="shared" ca="1" si="4"/>
        <v/>
      </c>
      <c r="L147" s="17" t="str">
        <f t="shared" ca="1" si="5"/>
        <v/>
      </c>
      <c r="M147" s="20"/>
      <c r="N147" s="20"/>
      <c r="O147" s="23"/>
    </row>
    <row r="148" spans="1:15" x14ac:dyDescent="0.25">
      <c r="A148" s="16" t="str">
        <f>IF(H148="","",IF(LOOKUP(H148,Clubs!B$2:C$201)="","",LOOKUP(H148,Clubs!B$2:C$201)))</f>
        <v/>
      </c>
      <c r="B148" s="17">
        <v>144</v>
      </c>
      <c r="C148" s="11" t="s">
        <v>126</v>
      </c>
      <c r="D148" s="27"/>
      <c r="E148" s="19"/>
      <c r="F148" s="19"/>
      <c r="G148" s="20"/>
      <c r="H148" s="21"/>
      <c r="I148" s="18" t="str">
        <f>IF(G148="NL","",IF(AND(G148&lt;&gt;"",H148&lt;&gt;""),LOOKUP(H148,Clubs!B$2:D$201),IF(AND(G148="",H148=""),"",IF(AND(G148&lt;&gt;"",H148=""),"ERREUR mettre un n° de club","ERREUR mettre un n° de Licence"))))</f>
        <v/>
      </c>
      <c r="J148" s="22"/>
      <c r="K148" s="16" t="str">
        <f t="shared" ca="1" si="4"/>
        <v/>
      </c>
      <c r="L148" s="17" t="str">
        <f t="shared" ca="1" si="5"/>
        <v/>
      </c>
      <c r="M148" s="20"/>
      <c r="N148" s="20"/>
      <c r="O148" s="23"/>
    </row>
    <row r="149" spans="1:15" x14ac:dyDescent="0.25">
      <c r="A149" s="16" t="str">
        <f>IF(H149="","",IF(LOOKUP(H149,Clubs!B$2:C$201)="","",LOOKUP(H149,Clubs!B$2:C$201)))</f>
        <v/>
      </c>
      <c r="B149" s="17">
        <v>145</v>
      </c>
      <c r="C149" s="11" t="s">
        <v>126</v>
      </c>
      <c r="D149" s="27"/>
      <c r="E149" s="19"/>
      <c r="F149" s="19"/>
      <c r="G149" s="20"/>
      <c r="H149" s="21"/>
      <c r="I149" s="18" t="str">
        <f>IF(G149="NL","",IF(AND(G149&lt;&gt;"",H149&lt;&gt;""),LOOKUP(H149,Clubs!B$2:D$201),IF(AND(G149="",H149=""),"",IF(AND(G149&lt;&gt;"",H149=""),"ERREUR mettre un n° de club","ERREUR mettre un n° de Licence"))))</f>
        <v/>
      </c>
      <c r="J149" s="22"/>
      <c r="K149" s="16" t="str">
        <f t="shared" ca="1" si="4"/>
        <v/>
      </c>
      <c r="L149" s="17" t="str">
        <f t="shared" ca="1" si="5"/>
        <v/>
      </c>
      <c r="M149" s="20"/>
      <c r="N149" s="20"/>
      <c r="O149" s="23"/>
    </row>
    <row r="150" spans="1:15" x14ac:dyDescent="0.25">
      <c r="A150" s="16" t="str">
        <f>IF(H150="","",IF(LOOKUP(H150,Clubs!B$2:C$201)="","",LOOKUP(H150,Clubs!B$2:C$201)))</f>
        <v/>
      </c>
      <c r="B150" s="17">
        <v>146</v>
      </c>
      <c r="C150" s="11" t="s">
        <v>126</v>
      </c>
      <c r="D150" s="27"/>
      <c r="E150" s="19"/>
      <c r="F150" s="19"/>
      <c r="G150" s="20"/>
      <c r="H150" s="21"/>
      <c r="I150" s="18" t="str">
        <f>IF(G150="NL","",IF(AND(G150&lt;&gt;"",H150&lt;&gt;""),LOOKUP(H150,Clubs!B$2:D$201),IF(AND(G150="",H150=""),"",IF(AND(G150&lt;&gt;"",H150=""),"ERREUR mettre un n° de club","ERREUR mettre un n° de Licence"))))</f>
        <v/>
      </c>
      <c r="J150" s="22"/>
      <c r="K150" s="16" t="str">
        <f t="shared" ca="1" si="4"/>
        <v/>
      </c>
      <c r="L150" s="17" t="str">
        <f t="shared" ca="1" si="5"/>
        <v/>
      </c>
      <c r="M150" s="20"/>
      <c r="N150" s="20"/>
      <c r="O150" s="23"/>
    </row>
    <row r="151" spans="1:15" x14ac:dyDescent="0.25">
      <c r="A151" s="16" t="str">
        <f>IF(H151="","",IF(LOOKUP(H151,Clubs!B$2:C$201)="","",LOOKUP(H151,Clubs!B$2:C$201)))</f>
        <v/>
      </c>
      <c r="B151" s="17">
        <v>147</v>
      </c>
      <c r="C151" s="11" t="s">
        <v>126</v>
      </c>
      <c r="D151" s="27"/>
      <c r="E151" s="19"/>
      <c r="F151" s="19"/>
      <c r="G151" s="20"/>
      <c r="H151" s="21"/>
      <c r="I151" s="18" t="str">
        <f>IF(G151="NL","",IF(AND(G151&lt;&gt;"",H151&lt;&gt;""),LOOKUP(H151,Clubs!B$2:D$201),IF(AND(G151="",H151=""),"",IF(AND(G151&lt;&gt;"",H151=""),"ERREUR mettre un n° de club","ERREUR mettre un n° de Licence"))))</f>
        <v/>
      </c>
      <c r="J151" s="22"/>
      <c r="K151" s="16" t="str">
        <f t="shared" ca="1" si="4"/>
        <v/>
      </c>
      <c r="L151" s="17" t="str">
        <f t="shared" ca="1" si="5"/>
        <v/>
      </c>
      <c r="M151" s="20"/>
      <c r="N151" s="20"/>
      <c r="O151" s="23"/>
    </row>
    <row r="152" spans="1:15" x14ac:dyDescent="0.25">
      <c r="A152" s="16" t="str">
        <f>IF(H152="","",IF(LOOKUP(H152,Clubs!B$2:C$201)="","",LOOKUP(H152,Clubs!B$2:C$201)))</f>
        <v/>
      </c>
      <c r="B152" s="17">
        <v>148</v>
      </c>
      <c r="C152" s="11" t="s">
        <v>126</v>
      </c>
      <c r="D152" s="27"/>
      <c r="E152" s="19"/>
      <c r="F152" s="19"/>
      <c r="G152" s="20"/>
      <c r="H152" s="21"/>
      <c r="I152" s="18" t="str">
        <f>IF(G152="NL","",IF(AND(G152&lt;&gt;"",H152&lt;&gt;""),LOOKUP(H152,Clubs!B$2:D$201),IF(AND(G152="",H152=""),"",IF(AND(G152&lt;&gt;"",H152=""),"ERREUR mettre un n° de club","ERREUR mettre un n° de Licence"))))</f>
        <v/>
      </c>
      <c r="J152" s="22"/>
      <c r="K152" s="16" t="str">
        <f t="shared" ca="1" si="4"/>
        <v/>
      </c>
      <c r="L152" s="17" t="str">
        <f t="shared" ca="1" si="5"/>
        <v/>
      </c>
      <c r="M152" s="20"/>
      <c r="N152" s="20"/>
      <c r="O152" s="23"/>
    </row>
    <row r="153" spans="1:15" x14ac:dyDescent="0.25">
      <c r="A153" s="16" t="str">
        <f>IF(H153="","",IF(LOOKUP(H153,Clubs!B$2:C$201)="","",LOOKUP(H153,Clubs!B$2:C$201)))</f>
        <v/>
      </c>
      <c r="B153" s="17">
        <v>149</v>
      </c>
      <c r="C153" s="11" t="s">
        <v>126</v>
      </c>
      <c r="D153" s="27"/>
      <c r="E153" s="19"/>
      <c r="F153" s="19"/>
      <c r="G153" s="20"/>
      <c r="H153" s="21"/>
      <c r="I153" s="18" t="str">
        <f>IF(G153="NL","",IF(AND(G153&lt;&gt;"",H153&lt;&gt;""),LOOKUP(H153,Clubs!B$2:D$201),IF(AND(G153="",H153=""),"",IF(AND(G153&lt;&gt;"",H153=""),"ERREUR mettre un n° de club","ERREUR mettre un n° de Licence"))))</f>
        <v/>
      </c>
      <c r="J153" s="22"/>
      <c r="K153" s="16" t="str">
        <f t="shared" ca="1" si="4"/>
        <v/>
      </c>
      <c r="L153" s="17" t="str">
        <f t="shared" ca="1" si="5"/>
        <v/>
      </c>
      <c r="M153" s="20"/>
      <c r="N153" s="20"/>
      <c r="O153" s="23"/>
    </row>
    <row r="154" spans="1:15" x14ac:dyDescent="0.25">
      <c r="A154" s="16" t="str">
        <f>IF(H154="","",IF(LOOKUP(H154,Clubs!B$2:C$201)="","",LOOKUP(H154,Clubs!B$2:C$201)))</f>
        <v/>
      </c>
      <c r="B154" s="17">
        <v>150</v>
      </c>
      <c r="C154" s="11" t="s">
        <v>126</v>
      </c>
      <c r="D154" s="27"/>
      <c r="E154" s="19"/>
      <c r="F154" s="19"/>
      <c r="G154" s="20"/>
      <c r="H154" s="21"/>
      <c r="I154" s="18" t="str">
        <f>IF(G154="NL","",IF(AND(G154&lt;&gt;"",H154&lt;&gt;""),LOOKUP(H154,Clubs!B$2:D$201),IF(AND(G154="",H154=""),"",IF(AND(G154&lt;&gt;"",H154=""),"ERREUR mettre un n° de club","ERREUR mettre un n° de Licence"))))</f>
        <v/>
      </c>
      <c r="J154" s="22"/>
      <c r="K154" s="16" t="str">
        <f t="shared" ca="1" si="4"/>
        <v/>
      </c>
      <c r="L154" s="17" t="str">
        <f t="shared" ca="1" si="5"/>
        <v/>
      </c>
      <c r="M154" s="20"/>
      <c r="N154" s="20"/>
      <c r="O154" s="23"/>
    </row>
    <row r="155" spans="1:15" x14ac:dyDescent="0.25">
      <c r="A155" s="16" t="str">
        <f>IF(H155="","",IF(LOOKUP(H155,Clubs!B$2:C$201)="","",LOOKUP(H155,Clubs!B$2:C$201)))</f>
        <v/>
      </c>
      <c r="B155" s="17">
        <v>151</v>
      </c>
      <c r="C155" s="11" t="s">
        <v>126</v>
      </c>
      <c r="D155" s="27"/>
      <c r="E155" s="19"/>
      <c r="F155" s="19"/>
      <c r="G155" s="20"/>
      <c r="H155" s="21"/>
      <c r="I155" s="18" t="str">
        <f>IF(G155="NL","",IF(AND(G155&lt;&gt;"",H155&lt;&gt;""),LOOKUP(H155,Clubs!B$2:D$201),IF(AND(G155="",H155=""),"",IF(AND(G155&lt;&gt;"",H155=""),"ERREUR mettre un n° de club","ERREUR mettre un n° de Licence"))))</f>
        <v/>
      </c>
      <c r="J155" s="22"/>
      <c r="K155" s="16" t="str">
        <f t="shared" ca="1" si="4"/>
        <v/>
      </c>
      <c r="L155" s="17" t="str">
        <f t="shared" ca="1" si="5"/>
        <v/>
      </c>
      <c r="M155" s="20"/>
      <c r="N155" s="20"/>
      <c r="O155" s="23"/>
    </row>
    <row r="156" spans="1:15" x14ac:dyDescent="0.25">
      <c r="A156" s="16" t="str">
        <f>IF(H156="","",IF(LOOKUP(H156,Clubs!B$2:C$201)="","",LOOKUP(H156,Clubs!B$2:C$201)))</f>
        <v/>
      </c>
      <c r="B156" s="17">
        <v>152</v>
      </c>
      <c r="C156" s="11" t="s">
        <v>126</v>
      </c>
      <c r="D156" s="27"/>
      <c r="E156" s="19"/>
      <c r="F156" s="19"/>
      <c r="G156" s="20"/>
      <c r="H156" s="21"/>
      <c r="I156" s="18" t="str">
        <f>IF(G156="NL","",IF(AND(G156&lt;&gt;"",H156&lt;&gt;""),LOOKUP(H156,Clubs!B$2:D$201),IF(AND(G156="",H156=""),"",IF(AND(G156&lt;&gt;"",H156=""),"ERREUR mettre un n° de club","ERREUR mettre un n° de Licence"))))</f>
        <v/>
      </c>
      <c r="J156" s="22"/>
      <c r="K156" s="16" t="str">
        <f t="shared" ca="1" si="4"/>
        <v/>
      </c>
      <c r="L156" s="17" t="str">
        <f t="shared" ca="1" si="5"/>
        <v/>
      </c>
      <c r="M156" s="20"/>
      <c r="N156" s="20"/>
      <c r="O156" s="23"/>
    </row>
    <row r="157" spans="1:15" x14ac:dyDescent="0.25">
      <c r="A157" s="16" t="str">
        <f>IF(H157="","",IF(LOOKUP(H157,Clubs!B$2:C$201)="","",LOOKUP(H157,Clubs!B$2:C$201)))</f>
        <v/>
      </c>
      <c r="B157" s="17">
        <v>153</v>
      </c>
      <c r="C157" s="11" t="s">
        <v>126</v>
      </c>
      <c r="D157" s="27"/>
      <c r="E157" s="19"/>
      <c r="F157" s="19"/>
      <c r="G157" s="20"/>
      <c r="H157" s="21"/>
      <c r="I157" s="18" t="str">
        <f>IF(G157="NL","",IF(AND(G157&lt;&gt;"",H157&lt;&gt;""),LOOKUP(H157,Clubs!B$2:D$201),IF(AND(G157="",H157=""),"",IF(AND(G157&lt;&gt;"",H157=""),"ERREUR mettre un n° de club","ERREUR mettre un n° de Licence"))))</f>
        <v/>
      </c>
      <c r="J157" s="22"/>
      <c r="K157" s="16" t="str">
        <f t="shared" ca="1" si="4"/>
        <v/>
      </c>
      <c r="L157" s="17" t="str">
        <f t="shared" ca="1" si="5"/>
        <v/>
      </c>
      <c r="M157" s="20"/>
      <c r="N157" s="20"/>
      <c r="O157" s="23"/>
    </row>
    <row r="158" spans="1:15" x14ac:dyDescent="0.25">
      <c r="A158" s="16" t="str">
        <f>IF(H158="","",IF(LOOKUP(H158,Clubs!B$2:C$201)="","",LOOKUP(H158,Clubs!B$2:C$201)))</f>
        <v/>
      </c>
      <c r="B158" s="17">
        <v>154</v>
      </c>
      <c r="C158" s="11" t="s">
        <v>126</v>
      </c>
      <c r="D158" s="27"/>
      <c r="E158" s="19"/>
      <c r="F158" s="19"/>
      <c r="G158" s="20"/>
      <c r="H158" s="21"/>
      <c r="I158" s="18" t="str">
        <f>IF(G158="NL","",IF(AND(G158&lt;&gt;"",H158&lt;&gt;""),LOOKUP(H158,Clubs!B$2:D$201),IF(AND(G158="",H158=""),"",IF(AND(G158&lt;&gt;"",H158=""),"ERREUR mettre un n° de club","ERREUR mettre un n° de Licence"))))</f>
        <v/>
      </c>
      <c r="J158" s="22"/>
      <c r="K158" s="16" t="str">
        <f t="shared" ca="1" si="4"/>
        <v/>
      </c>
      <c r="L158" s="17" t="str">
        <f t="shared" ca="1" si="5"/>
        <v/>
      </c>
      <c r="M158" s="20"/>
      <c r="N158" s="20"/>
      <c r="O158" s="23"/>
    </row>
    <row r="159" spans="1:15" x14ac:dyDescent="0.25">
      <c r="A159" s="16" t="str">
        <f>IF(H159="","",IF(LOOKUP(H159,Clubs!B$2:C$201)="","",LOOKUP(H159,Clubs!B$2:C$201)))</f>
        <v/>
      </c>
      <c r="B159" s="17">
        <v>155</v>
      </c>
      <c r="C159" s="11" t="s">
        <v>126</v>
      </c>
      <c r="D159" s="27"/>
      <c r="E159" s="19"/>
      <c r="F159" s="19"/>
      <c r="G159" s="20"/>
      <c r="H159" s="21"/>
      <c r="I159" s="18" t="str">
        <f>IF(G159="NL","",IF(AND(G159&lt;&gt;"",H159&lt;&gt;""),LOOKUP(H159,Clubs!B$2:D$201),IF(AND(G159="",H159=""),"",IF(AND(G159&lt;&gt;"",H159=""),"ERREUR mettre un n° de club","ERREUR mettre un n° de Licence"))))</f>
        <v/>
      </c>
      <c r="J159" s="22"/>
      <c r="K159" s="16" t="str">
        <f t="shared" ca="1" si="4"/>
        <v/>
      </c>
      <c r="L159" s="17" t="str">
        <f t="shared" ca="1" si="5"/>
        <v/>
      </c>
      <c r="M159" s="20"/>
      <c r="N159" s="20"/>
      <c r="O159" s="23"/>
    </row>
    <row r="160" spans="1:15" x14ac:dyDescent="0.25">
      <c r="A160" s="16" t="str">
        <f>IF(H160="","",IF(LOOKUP(H160,Clubs!B$2:C$201)="","",LOOKUP(H160,Clubs!B$2:C$201)))</f>
        <v/>
      </c>
      <c r="B160" s="17">
        <v>156</v>
      </c>
      <c r="C160" s="11" t="s">
        <v>126</v>
      </c>
      <c r="D160" s="27"/>
      <c r="E160" s="19"/>
      <c r="F160" s="19"/>
      <c r="G160" s="20"/>
      <c r="H160" s="21"/>
      <c r="I160" s="18" t="str">
        <f>IF(G160="NL","",IF(AND(G160&lt;&gt;"",H160&lt;&gt;""),LOOKUP(H160,Clubs!B$2:D$201),IF(AND(G160="",H160=""),"",IF(AND(G160&lt;&gt;"",H160=""),"ERREUR mettre un n° de club","ERREUR mettre un n° de Licence"))))</f>
        <v/>
      </c>
      <c r="J160" s="22"/>
      <c r="K160" s="16" t="str">
        <f t="shared" ca="1" si="4"/>
        <v/>
      </c>
      <c r="L160" s="17" t="str">
        <f t="shared" ca="1" si="5"/>
        <v/>
      </c>
      <c r="M160" s="20"/>
      <c r="N160" s="20"/>
      <c r="O160" s="23"/>
    </row>
    <row r="161" spans="1:15" x14ac:dyDescent="0.25">
      <c r="A161" s="16" t="str">
        <f>IF(H161="","",IF(LOOKUP(H161,Clubs!B$2:C$201)="","",LOOKUP(H161,Clubs!B$2:C$201)))</f>
        <v/>
      </c>
      <c r="B161" s="17">
        <v>157</v>
      </c>
      <c r="C161" s="11" t="s">
        <v>126</v>
      </c>
      <c r="D161" s="27"/>
      <c r="E161" s="19"/>
      <c r="F161" s="19"/>
      <c r="G161" s="20"/>
      <c r="H161" s="21"/>
      <c r="I161" s="18" t="str">
        <f>IF(G161="NL","",IF(AND(G161&lt;&gt;"",H161&lt;&gt;""),LOOKUP(H161,Clubs!B$2:D$201),IF(AND(G161="",H161=""),"",IF(AND(G161&lt;&gt;"",H161=""),"ERREUR mettre un n° de club","ERREUR mettre un n° de Licence"))))</f>
        <v/>
      </c>
      <c r="J161" s="22"/>
      <c r="K161" s="16" t="str">
        <f t="shared" ca="1" si="4"/>
        <v/>
      </c>
      <c r="L161" s="17" t="str">
        <f t="shared" ca="1" si="5"/>
        <v/>
      </c>
      <c r="M161" s="20"/>
      <c r="N161" s="20"/>
      <c r="O161" s="23"/>
    </row>
    <row r="162" spans="1:15" x14ac:dyDescent="0.25">
      <c r="A162" s="16" t="str">
        <f>IF(H162="","",IF(LOOKUP(H162,Clubs!B$2:C$201)="","",LOOKUP(H162,Clubs!B$2:C$201)))</f>
        <v/>
      </c>
      <c r="B162" s="17">
        <v>158</v>
      </c>
      <c r="C162" s="11" t="s">
        <v>126</v>
      </c>
      <c r="D162" s="27"/>
      <c r="E162" s="19"/>
      <c r="F162" s="19"/>
      <c r="G162" s="20"/>
      <c r="H162" s="21"/>
      <c r="I162" s="18" t="str">
        <f>IF(G162="NL","",IF(AND(G162&lt;&gt;"",H162&lt;&gt;""),LOOKUP(H162,Clubs!B$2:D$201),IF(AND(G162="",H162=""),"",IF(AND(G162&lt;&gt;"",H162=""),"ERREUR mettre un n° de club","ERREUR mettre un n° de Licence"))))</f>
        <v/>
      </c>
      <c r="J162" s="22"/>
      <c r="K162" s="16" t="str">
        <f t="shared" ca="1" si="4"/>
        <v/>
      </c>
      <c r="L162" s="17" t="str">
        <f t="shared" ca="1" si="5"/>
        <v/>
      </c>
      <c r="M162" s="20"/>
      <c r="N162" s="20"/>
      <c r="O162" s="23"/>
    </row>
    <row r="163" spans="1:15" x14ac:dyDescent="0.25">
      <c r="A163" s="16" t="str">
        <f>IF(H163="","",IF(LOOKUP(H163,Clubs!B$2:C$201)="","",LOOKUP(H163,Clubs!B$2:C$201)))</f>
        <v/>
      </c>
      <c r="B163" s="17">
        <v>159</v>
      </c>
      <c r="C163" s="11" t="s">
        <v>126</v>
      </c>
      <c r="D163" s="27"/>
      <c r="E163" s="19"/>
      <c r="F163" s="19"/>
      <c r="G163" s="20"/>
      <c r="H163" s="21"/>
      <c r="I163" s="18" t="str">
        <f>IF(G163="NL","",IF(AND(G163&lt;&gt;"",H163&lt;&gt;""),LOOKUP(H163,Clubs!B$2:D$201),IF(AND(G163="",H163=""),"",IF(AND(G163&lt;&gt;"",H163=""),"ERREUR mettre un n° de club","ERREUR mettre un n° de Licence"))))</f>
        <v/>
      </c>
      <c r="J163" s="22"/>
      <c r="K163" s="16" t="str">
        <f t="shared" ca="1" si="4"/>
        <v/>
      </c>
      <c r="L163" s="17" t="str">
        <f t="shared" ca="1" si="5"/>
        <v/>
      </c>
      <c r="M163" s="20"/>
      <c r="N163" s="20"/>
      <c r="O163" s="23"/>
    </row>
    <row r="164" spans="1:15" x14ac:dyDescent="0.25">
      <c r="A164" s="16" t="str">
        <f>IF(H164="","",IF(LOOKUP(H164,Clubs!B$2:C$201)="","",LOOKUP(H164,Clubs!B$2:C$201)))</f>
        <v/>
      </c>
      <c r="B164" s="17">
        <v>160</v>
      </c>
      <c r="C164" s="11" t="s">
        <v>126</v>
      </c>
      <c r="D164" s="27"/>
      <c r="E164" s="19"/>
      <c r="F164" s="19"/>
      <c r="G164" s="20"/>
      <c r="H164" s="21"/>
      <c r="I164" s="18" t="str">
        <f>IF(G164="NL","",IF(AND(G164&lt;&gt;"",H164&lt;&gt;""),LOOKUP(H164,Clubs!B$2:D$201),IF(AND(G164="",H164=""),"",IF(AND(G164&lt;&gt;"",H164=""),"ERREUR mettre un n° de club","ERREUR mettre un n° de Licence"))))</f>
        <v/>
      </c>
      <c r="J164" s="22"/>
      <c r="K164" s="16" t="str">
        <f t="shared" ca="1" si="4"/>
        <v/>
      </c>
      <c r="L164" s="17" t="str">
        <f t="shared" ca="1" si="5"/>
        <v/>
      </c>
      <c r="M164" s="20"/>
      <c r="N164" s="20"/>
      <c r="O164" s="23"/>
    </row>
    <row r="165" spans="1:15" x14ac:dyDescent="0.25">
      <c r="A165" s="16" t="str">
        <f>IF(H165="","",IF(LOOKUP(H165,Clubs!B$2:C$201)="","",LOOKUP(H165,Clubs!B$2:C$201)))</f>
        <v/>
      </c>
      <c r="B165" s="17">
        <v>161</v>
      </c>
      <c r="C165" s="11" t="s">
        <v>126</v>
      </c>
      <c r="D165" s="27"/>
      <c r="E165" s="19"/>
      <c r="F165" s="19"/>
      <c r="G165" s="20"/>
      <c r="H165" s="21"/>
      <c r="I165" s="18" t="str">
        <f>IF(G165="NL","",IF(AND(G165&lt;&gt;"",H165&lt;&gt;""),LOOKUP(H165,Clubs!B$2:D$201),IF(AND(G165="",H165=""),"",IF(AND(G165&lt;&gt;"",H165=""),"ERREUR mettre un n° de club","ERREUR mettre un n° de Licence"))))</f>
        <v/>
      </c>
      <c r="J165" s="22"/>
      <c r="K165" s="16" t="str">
        <f t="shared" ca="1" si="4"/>
        <v/>
      </c>
      <c r="L165" s="17" t="str">
        <f t="shared" ca="1" si="5"/>
        <v/>
      </c>
      <c r="M165" s="20"/>
      <c r="N165" s="20"/>
      <c r="O165" s="23"/>
    </row>
    <row r="166" spans="1:15" x14ac:dyDescent="0.25">
      <c r="A166" s="16" t="str">
        <f>IF(H166="","",IF(LOOKUP(H166,Clubs!B$2:C$201)="","",LOOKUP(H166,Clubs!B$2:C$201)))</f>
        <v/>
      </c>
      <c r="B166" s="17">
        <v>162</v>
      </c>
      <c r="C166" s="11" t="s">
        <v>126</v>
      </c>
      <c r="D166" s="27"/>
      <c r="E166" s="19"/>
      <c r="F166" s="19"/>
      <c r="G166" s="20"/>
      <c r="H166" s="21"/>
      <c r="I166" s="18" t="str">
        <f>IF(G166="NL","",IF(AND(G166&lt;&gt;"",H166&lt;&gt;""),LOOKUP(H166,Clubs!B$2:D$201),IF(AND(G166="",H166=""),"",IF(AND(G166&lt;&gt;"",H166=""),"ERREUR mettre un n° de club","ERREUR mettre un n° de Licence"))))</f>
        <v/>
      </c>
      <c r="J166" s="22"/>
      <c r="K166" s="16" t="str">
        <f t="shared" ca="1" si="4"/>
        <v/>
      </c>
      <c r="L166" s="17" t="str">
        <f t="shared" ca="1" si="5"/>
        <v/>
      </c>
      <c r="M166" s="20"/>
      <c r="N166" s="20"/>
      <c r="O166" s="23"/>
    </row>
    <row r="167" spans="1:15" x14ac:dyDescent="0.25">
      <c r="A167" s="16" t="str">
        <f>IF(H167="","",IF(LOOKUP(H167,Clubs!B$2:C$201)="","",LOOKUP(H167,Clubs!B$2:C$201)))</f>
        <v/>
      </c>
      <c r="B167" s="17">
        <v>163</v>
      </c>
      <c r="C167" s="11" t="s">
        <v>126</v>
      </c>
      <c r="D167" s="27"/>
      <c r="E167" s="19"/>
      <c r="F167" s="19"/>
      <c r="G167" s="20"/>
      <c r="H167" s="21"/>
      <c r="I167" s="18" t="str">
        <f>IF(G167="NL","",IF(AND(G167&lt;&gt;"",H167&lt;&gt;""),LOOKUP(H167,Clubs!B$2:D$201),IF(AND(G167="",H167=""),"",IF(AND(G167&lt;&gt;"",H167=""),"ERREUR mettre un n° de club","ERREUR mettre un n° de Licence"))))</f>
        <v/>
      </c>
      <c r="J167" s="22"/>
      <c r="K167" s="16" t="str">
        <f t="shared" ca="1" si="4"/>
        <v/>
      </c>
      <c r="L167" s="17" t="str">
        <f t="shared" ca="1" si="5"/>
        <v/>
      </c>
      <c r="M167" s="20"/>
      <c r="N167" s="20"/>
      <c r="O167" s="23"/>
    </row>
    <row r="168" spans="1:15" x14ac:dyDescent="0.25">
      <c r="A168" s="16" t="str">
        <f>IF(H168="","",IF(LOOKUP(H168,Clubs!B$2:C$201)="","",LOOKUP(H168,Clubs!B$2:C$201)))</f>
        <v/>
      </c>
      <c r="B168" s="17">
        <v>164</v>
      </c>
      <c r="C168" s="11" t="s">
        <v>126</v>
      </c>
      <c r="D168" s="27"/>
      <c r="E168" s="19"/>
      <c r="F168" s="19"/>
      <c r="G168" s="20"/>
      <c r="H168" s="21"/>
      <c r="I168" s="18" t="str">
        <f>IF(G168="NL","",IF(AND(G168&lt;&gt;"",H168&lt;&gt;""),LOOKUP(H168,Clubs!B$2:D$201),IF(AND(G168="",H168=""),"",IF(AND(G168&lt;&gt;"",H168=""),"ERREUR mettre un n° de club","ERREUR mettre un n° de Licence"))))</f>
        <v/>
      </c>
      <c r="J168" s="22"/>
      <c r="K168" s="16" t="str">
        <f t="shared" ca="1" si="4"/>
        <v/>
      </c>
      <c r="L168" s="17" t="str">
        <f t="shared" ca="1" si="5"/>
        <v/>
      </c>
      <c r="M168" s="20"/>
      <c r="N168" s="20"/>
      <c r="O168" s="23"/>
    </row>
    <row r="169" spans="1:15" x14ac:dyDescent="0.25">
      <c r="A169" s="16" t="str">
        <f>IF(H169="","",IF(LOOKUP(H169,Clubs!B$2:C$201)="","",LOOKUP(H169,Clubs!B$2:C$201)))</f>
        <v/>
      </c>
      <c r="B169" s="17">
        <v>165</v>
      </c>
      <c r="C169" s="11" t="s">
        <v>126</v>
      </c>
      <c r="D169" s="27"/>
      <c r="E169" s="19"/>
      <c r="F169" s="19"/>
      <c r="G169" s="20"/>
      <c r="H169" s="21"/>
      <c r="I169" s="18" t="str">
        <f>IF(G169="NL","",IF(AND(G169&lt;&gt;"",H169&lt;&gt;""),LOOKUP(H169,Clubs!B$2:D$201),IF(AND(G169="",H169=""),"",IF(AND(G169&lt;&gt;"",H169=""),"ERREUR mettre un n° de club","ERREUR mettre un n° de Licence"))))</f>
        <v/>
      </c>
      <c r="J169" s="22"/>
      <c r="K169" s="16" t="str">
        <f t="shared" ca="1" si="4"/>
        <v/>
      </c>
      <c r="L169" s="17" t="str">
        <f t="shared" ca="1" si="5"/>
        <v/>
      </c>
      <c r="M169" s="20"/>
      <c r="N169" s="20"/>
      <c r="O169" s="23"/>
    </row>
    <row r="170" spans="1:15" x14ac:dyDescent="0.25">
      <c r="A170" s="16" t="str">
        <f>IF(H170="","",IF(LOOKUP(H170,Clubs!B$2:C$201)="","",LOOKUP(H170,Clubs!B$2:C$201)))</f>
        <v/>
      </c>
      <c r="B170" s="17">
        <v>166</v>
      </c>
      <c r="C170" s="11" t="s">
        <v>126</v>
      </c>
      <c r="D170" s="27"/>
      <c r="E170" s="19"/>
      <c r="F170" s="19"/>
      <c r="G170" s="20"/>
      <c r="H170" s="21"/>
      <c r="I170" s="18" t="str">
        <f>IF(G170="NL","",IF(AND(G170&lt;&gt;"",H170&lt;&gt;""),LOOKUP(H170,Clubs!B$2:D$201),IF(AND(G170="",H170=""),"",IF(AND(G170&lt;&gt;"",H170=""),"ERREUR mettre un n° de club","ERREUR mettre un n° de Licence"))))</f>
        <v/>
      </c>
      <c r="J170" s="22"/>
      <c r="K170" s="16" t="str">
        <f t="shared" ca="1" si="4"/>
        <v/>
      </c>
      <c r="L170" s="17" t="str">
        <f t="shared" ca="1" si="5"/>
        <v/>
      </c>
      <c r="M170" s="20"/>
      <c r="N170" s="20"/>
      <c r="O170" s="23"/>
    </row>
    <row r="171" spans="1:15" x14ac:dyDescent="0.25">
      <c r="A171" s="16" t="str">
        <f>IF(H171="","",IF(LOOKUP(H171,Clubs!B$2:C$201)="","",LOOKUP(H171,Clubs!B$2:C$201)))</f>
        <v/>
      </c>
      <c r="B171" s="17">
        <v>167</v>
      </c>
      <c r="C171" s="11" t="s">
        <v>126</v>
      </c>
      <c r="D171" s="27"/>
      <c r="E171" s="19"/>
      <c r="F171" s="19"/>
      <c r="G171" s="20"/>
      <c r="H171" s="21"/>
      <c r="I171" s="18" t="str">
        <f>IF(G171="NL","",IF(AND(G171&lt;&gt;"",H171&lt;&gt;""),LOOKUP(H171,Clubs!B$2:D$201),IF(AND(G171="",H171=""),"",IF(AND(G171&lt;&gt;"",H171=""),"ERREUR mettre un n° de club","ERREUR mettre un n° de Licence"))))</f>
        <v/>
      </c>
      <c r="J171" s="22"/>
      <c r="K171" s="16" t="str">
        <f t="shared" ca="1" si="4"/>
        <v/>
      </c>
      <c r="L171" s="17" t="str">
        <f t="shared" ca="1" si="5"/>
        <v/>
      </c>
      <c r="M171" s="20"/>
      <c r="N171" s="20"/>
      <c r="O171" s="23"/>
    </row>
    <row r="172" spans="1:15" x14ac:dyDescent="0.25">
      <c r="A172" s="16" t="str">
        <f>IF(H172="","",IF(LOOKUP(H172,Clubs!B$2:C$201)="","",LOOKUP(H172,Clubs!B$2:C$201)))</f>
        <v/>
      </c>
      <c r="B172" s="17">
        <v>168</v>
      </c>
      <c r="C172" s="11" t="s">
        <v>126</v>
      </c>
      <c r="D172" s="27"/>
      <c r="E172" s="19"/>
      <c r="F172" s="19"/>
      <c r="G172" s="20"/>
      <c r="H172" s="21"/>
      <c r="I172" s="18" t="str">
        <f>IF(G172="NL","",IF(AND(G172&lt;&gt;"",H172&lt;&gt;""),LOOKUP(H172,Clubs!B$2:D$201),IF(AND(G172="",H172=""),"",IF(AND(G172&lt;&gt;"",H172=""),"ERREUR mettre un n° de club","ERREUR mettre un n° de Licence"))))</f>
        <v/>
      </c>
      <c r="J172" s="22"/>
      <c r="K172" s="16" t="str">
        <f t="shared" ca="1" si="4"/>
        <v/>
      </c>
      <c r="L172" s="17" t="str">
        <f t="shared" ca="1" si="5"/>
        <v/>
      </c>
      <c r="M172" s="20"/>
      <c r="N172" s="20"/>
      <c r="O172" s="23"/>
    </row>
    <row r="173" spans="1:15" x14ac:dyDescent="0.25">
      <c r="A173" s="16" t="str">
        <f>IF(H173="","",IF(LOOKUP(H173,Clubs!B$2:C$201)="","",LOOKUP(H173,Clubs!B$2:C$201)))</f>
        <v/>
      </c>
      <c r="B173" s="17">
        <v>169</v>
      </c>
      <c r="C173" s="11" t="s">
        <v>126</v>
      </c>
      <c r="D173" s="27"/>
      <c r="E173" s="19"/>
      <c r="F173" s="19"/>
      <c r="G173" s="20"/>
      <c r="H173" s="21"/>
      <c r="I173" s="18" t="str">
        <f>IF(G173="NL","",IF(AND(G173&lt;&gt;"",H173&lt;&gt;""),LOOKUP(H173,Clubs!B$2:D$201),IF(AND(G173="",H173=""),"",IF(AND(G173&lt;&gt;"",H173=""),"ERREUR mettre un n° de club","ERREUR mettre un n° de Licence"))))</f>
        <v/>
      </c>
      <c r="J173" s="22"/>
      <c r="K173" s="16" t="str">
        <f t="shared" ca="1" si="4"/>
        <v/>
      </c>
      <c r="L173" s="17" t="str">
        <f t="shared" ca="1" si="5"/>
        <v/>
      </c>
      <c r="M173" s="20"/>
      <c r="N173" s="20"/>
      <c r="O173" s="23"/>
    </row>
    <row r="174" spans="1:15" x14ac:dyDescent="0.25">
      <c r="A174" s="16" t="str">
        <f>IF(H174="","",IF(LOOKUP(H174,Clubs!B$2:C$201)="","",LOOKUP(H174,Clubs!B$2:C$201)))</f>
        <v/>
      </c>
      <c r="B174" s="17">
        <v>170</v>
      </c>
      <c r="C174" s="11" t="s">
        <v>126</v>
      </c>
      <c r="D174" s="27"/>
      <c r="E174" s="19"/>
      <c r="F174" s="19"/>
      <c r="G174" s="20"/>
      <c r="H174" s="21"/>
      <c r="I174" s="18" t="str">
        <f>IF(G174="NL","",IF(AND(G174&lt;&gt;"",H174&lt;&gt;""),LOOKUP(H174,Clubs!B$2:D$201),IF(AND(G174="",H174=""),"",IF(AND(G174&lt;&gt;"",H174=""),"ERREUR mettre un n° de club","ERREUR mettre un n° de Licence"))))</f>
        <v/>
      </c>
      <c r="J174" s="22"/>
      <c r="K174" s="16" t="str">
        <f t="shared" ca="1" si="4"/>
        <v/>
      </c>
      <c r="L174" s="17" t="str">
        <f t="shared" ca="1" si="5"/>
        <v/>
      </c>
      <c r="M174" s="20"/>
      <c r="N174" s="20"/>
      <c r="O174" s="23"/>
    </row>
    <row r="175" spans="1:15" x14ac:dyDescent="0.25">
      <c r="A175" s="16" t="str">
        <f>IF(H175="","",IF(LOOKUP(H175,Clubs!B$2:C$201)="","",LOOKUP(H175,Clubs!B$2:C$201)))</f>
        <v/>
      </c>
      <c r="B175" s="17">
        <v>171</v>
      </c>
      <c r="C175" s="11" t="s">
        <v>126</v>
      </c>
      <c r="D175" s="27"/>
      <c r="E175" s="19"/>
      <c r="F175" s="19"/>
      <c r="G175" s="20"/>
      <c r="H175" s="21"/>
      <c r="I175" s="18" t="str">
        <f>IF(G175="NL","",IF(AND(G175&lt;&gt;"",H175&lt;&gt;""),LOOKUP(H175,Clubs!B$2:D$201),IF(AND(G175="",H175=""),"",IF(AND(G175&lt;&gt;"",H175=""),"ERREUR mettre un n° de club","ERREUR mettre un n° de Licence"))))</f>
        <v/>
      </c>
      <c r="J175" s="22"/>
      <c r="K175" s="16" t="str">
        <f t="shared" ca="1" si="4"/>
        <v/>
      </c>
      <c r="L175" s="17" t="str">
        <f t="shared" ca="1" si="5"/>
        <v/>
      </c>
      <c r="M175" s="20"/>
      <c r="N175" s="20"/>
      <c r="O175" s="23"/>
    </row>
    <row r="176" spans="1:15" x14ac:dyDescent="0.25">
      <c r="A176" s="16" t="str">
        <f>IF(H176="","",IF(LOOKUP(H176,Clubs!B$2:C$201)="","",LOOKUP(H176,Clubs!B$2:C$201)))</f>
        <v/>
      </c>
      <c r="B176" s="17">
        <v>172</v>
      </c>
      <c r="C176" s="11" t="s">
        <v>126</v>
      </c>
      <c r="D176" s="27"/>
      <c r="E176" s="19"/>
      <c r="F176" s="19"/>
      <c r="G176" s="20"/>
      <c r="H176" s="21"/>
      <c r="I176" s="18" t="str">
        <f>IF(G176="NL","",IF(AND(G176&lt;&gt;"",H176&lt;&gt;""),LOOKUP(H176,Clubs!B$2:D$201),IF(AND(G176="",H176=""),"",IF(AND(G176&lt;&gt;"",H176=""),"ERREUR mettre un n° de club","ERREUR mettre un n° de Licence"))))</f>
        <v/>
      </c>
      <c r="J176" s="22"/>
      <c r="K176" s="16" t="str">
        <f t="shared" ca="1" si="4"/>
        <v/>
      </c>
      <c r="L176" s="17" t="str">
        <f t="shared" ca="1" si="5"/>
        <v/>
      </c>
      <c r="M176" s="20"/>
      <c r="N176" s="20"/>
      <c r="O176" s="23"/>
    </row>
    <row r="177" spans="1:15" x14ac:dyDescent="0.25">
      <c r="A177" s="16" t="str">
        <f>IF(H177="","",IF(LOOKUP(H177,Clubs!B$2:C$201)="","",LOOKUP(H177,Clubs!B$2:C$201)))</f>
        <v/>
      </c>
      <c r="B177" s="17">
        <v>173</v>
      </c>
      <c r="C177" s="11" t="s">
        <v>126</v>
      </c>
      <c r="D177" s="27"/>
      <c r="E177" s="19"/>
      <c r="F177" s="19"/>
      <c r="G177" s="20"/>
      <c r="H177" s="21"/>
      <c r="I177" s="18" t="str">
        <f>IF(G177="NL","",IF(AND(G177&lt;&gt;"",H177&lt;&gt;""),LOOKUP(H177,Clubs!B$2:D$201),IF(AND(G177="",H177=""),"",IF(AND(G177&lt;&gt;"",H177=""),"ERREUR mettre un n° de club","ERREUR mettre un n° de Licence"))))</f>
        <v/>
      </c>
      <c r="J177" s="22"/>
      <c r="K177" s="16" t="str">
        <f t="shared" ca="1" si="4"/>
        <v/>
      </c>
      <c r="L177" s="17" t="str">
        <f t="shared" ca="1" si="5"/>
        <v/>
      </c>
      <c r="M177" s="20"/>
      <c r="N177" s="20"/>
      <c r="O177" s="23"/>
    </row>
    <row r="178" spans="1:15" x14ac:dyDescent="0.25">
      <c r="A178" s="16" t="str">
        <f>IF(H178="","",IF(LOOKUP(H178,Clubs!B$2:C$201)="","",LOOKUP(H178,Clubs!B$2:C$201)))</f>
        <v/>
      </c>
      <c r="B178" s="17">
        <v>174</v>
      </c>
      <c r="C178" s="11" t="s">
        <v>126</v>
      </c>
      <c r="D178" s="27"/>
      <c r="E178" s="19"/>
      <c r="F178" s="19"/>
      <c r="G178" s="20"/>
      <c r="H178" s="21"/>
      <c r="I178" s="18" t="str">
        <f>IF(G178="NL","",IF(AND(G178&lt;&gt;"",H178&lt;&gt;""),LOOKUP(H178,Clubs!B$2:D$201),IF(AND(G178="",H178=""),"",IF(AND(G178&lt;&gt;"",H178=""),"ERREUR mettre un n° de club","ERREUR mettre un n° de Licence"))))</f>
        <v/>
      </c>
      <c r="J178" s="22"/>
      <c r="K178" s="16" t="str">
        <f t="shared" ca="1" si="4"/>
        <v/>
      </c>
      <c r="L178" s="17" t="str">
        <f t="shared" ca="1" si="5"/>
        <v/>
      </c>
      <c r="M178" s="20"/>
      <c r="N178" s="20"/>
      <c r="O178" s="23"/>
    </row>
    <row r="179" spans="1:15" x14ac:dyDescent="0.25">
      <c r="A179" s="16" t="str">
        <f>IF(H179="","",IF(LOOKUP(H179,Clubs!B$2:C$201)="","",LOOKUP(H179,Clubs!B$2:C$201)))</f>
        <v/>
      </c>
      <c r="B179" s="17">
        <v>175</v>
      </c>
      <c r="C179" s="11" t="s">
        <v>126</v>
      </c>
      <c r="D179" s="27"/>
      <c r="E179" s="19"/>
      <c r="F179" s="19"/>
      <c r="G179" s="20"/>
      <c r="H179" s="21"/>
      <c r="I179" s="18" t="str">
        <f>IF(G179="NL","",IF(AND(G179&lt;&gt;"",H179&lt;&gt;""),LOOKUP(H179,Clubs!B$2:D$201),IF(AND(G179="",H179=""),"",IF(AND(G179&lt;&gt;"",H179=""),"ERREUR mettre un n° de club","ERREUR mettre un n° de Licence"))))</f>
        <v/>
      </c>
      <c r="J179" s="22"/>
      <c r="K179" s="16" t="str">
        <f t="shared" ca="1" si="4"/>
        <v/>
      </c>
      <c r="L179" s="17" t="str">
        <f t="shared" ca="1" si="5"/>
        <v/>
      </c>
      <c r="M179" s="20"/>
      <c r="N179" s="20"/>
      <c r="O179" s="23"/>
    </row>
    <row r="180" spans="1:15" x14ac:dyDescent="0.25">
      <c r="A180" s="16" t="str">
        <f>IF(H180="","",IF(LOOKUP(H180,Clubs!B$2:C$201)="","",LOOKUP(H180,Clubs!B$2:C$201)))</f>
        <v/>
      </c>
      <c r="B180" s="17">
        <v>176</v>
      </c>
      <c r="C180" s="11" t="s">
        <v>126</v>
      </c>
      <c r="D180" s="27"/>
      <c r="E180" s="19"/>
      <c r="F180" s="19"/>
      <c r="G180" s="20"/>
      <c r="H180" s="21"/>
      <c r="I180" s="18" t="str">
        <f>IF(G180="NL","",IF(AND(G180&lt;&gt;"",H180&lt;&gt;""),LOOKUP(H180,Clubs!B$2:D$201),IF(AND(G180="",H180=""),"",IF(AND(G180&lt;&gt;"",H180=""),"ERREUR mettre un n° de club","ERREUR mettre un n° de Licence"))))</f>
        <v/>
      </c>
      <c r="J180" s="22"/>
      <c r="K180" s="16" t="str">
        <f t="shared" ca="1" si="4"/>
        <v/>
      </c>
      <c r="L180" s="17" t="str">
        <f t="shared" ca="1" si="5"/>
        <v/>
      </c>
      <c r="M180" s="20"/>
      <c r="N180" s="20"/>
      <c r="O180" s="23"/>
    </row>
    <row r="181" spans="1:15" x14ac:dyDescent="0.25">
      <c r="A181" s="16" t="str">
        <f>IF(H181="","",IF(LOOKUP(H181,Clubs!B$2:C$201)="","",LOOKUP(H181,Clubs!B$2:C$201)))</f>
        <v/>
      </c>
      <c r="B181" s="17">
        <v>177</v>
      </c>
      <c r="C181" s="11" t="s">
        <v>126</v>
      </c>
      <c r="D181" s="27"/>
      <c r="E181" s="19"/>
      <c r="F181" s="19"/>
      <c r="G181" s="20"/>
      <c r="H181" s="21"/>
      <c r="I181" s="18" t="str">
        <f>IF(G181="NL","",IF(AND(G181&lt;&gt;"",H181&lt;&gt;""),LOOKUP(H181,Clubs!B$2:D$201),IF(AND(G181="",H181=""),"",IF(AND(G181&lt;&gt;"",H181=""),"ERREUR mettre un n° de club","ERREUR mettre un n° de Licence"))))</f>
        <v/>
      </c>
      <c r="J181" s="22"/>
      <c r="K181" s="16" t="str">
        <f t="shared" ca="1" si="4"/>
        <v/>
      </c>
      <c r="L181" s="17" t="str">
        <f t="shared" ca="1" si="5"/>
        <v/>
      </c>
      <c r="M181" s="20"/>
      <c r="N181" s="20"/>
      <c r="O181" s="23"/>
    </row>
    <row r="182" spans="1:15" x14ac:dyDescent="0.25">
      <c r="A182" s="16" t="str">
        <f>IF(H182="","",IF(LOOKUP(H182,Clubs!B$2:C$201)="","",LOOKUP(H182,Clubs!B$2:C$201)))</f>
        <v/>
      </c>
      <c r="B182" s="17">
        <v>178</v>
      </c>
      <c r="C182" s="11" t="s">
        <v>126</v>
      </c>
      <c r="D182" s="27"/>
      <c r="E182" s="19"/>
      <c r="F182" s="19"/>
      <c r="G182" s="20"/>
      <c r="H182" s="21"/>
      <c r="I182" s="18" t="str">
        <f>IF(G182="NL","",IF(AND(G182&lt;&gt;"",H182&lt;&gt;""),LOOKUP(H182,Clubs!B$2:D$201),IF(AND(G182="",H182=""),"",IF(AND(G182&lt;&gt;"",H182=""),"ERREUR mettre un n° de club","ERREUR mettre un n° de Licence"))))</f>
        <v/>
      </c>
      <c r="J182" s="22"/>
      <c r="K182" s="16" t="str">
        <f t="shared" ca="1" si="4"/>
        <v/>
      </c>
      <c r="L182" s="17" t="str">
        <f t="shared" ca="1" si="5"/>
        <v/>
      </c>
      <c r="M182" s="20"/>
      <c r="N182" s="20"/>
      <c r="O182" s="23"/>
    </row>
    <row r="183" spans="1:15" x14ac:dyDescent="0.25">
      <c r="A183" s="16" t="str">
        <f>IF(H183="","",IF(LOOKUP(H183,Clubs!B$2:C$201)="","",LOOKUP(H183,Clubs!B$2:C$201)))</f>
        <v/>
      </c>
      <c r="B183" s="17">
        <v>179</v>
      </c>
      <c r="C183" s="11" t="s">
        <v>126</v>
      </c>
      <c r="D183" s="27"/>
      <c r="E183" s="19"/>
      <c r="F183" s="19"/>
      <c r="G183" s="20"/>
      <c r="H183" s="21"/>
      <c r="I183" s="18" t="str">
        <f>IF(G183="NL","",IF(AND(G183&lt;&gt;"",H183&lt;&gt;""),LOOKUP(H183,Clubs!B$2:D$201),IF(AND(G183="",H183=""),"",IF(AND(G183&lt;&gt;"",H183=""),"ERREUR mettre un n° de club","ERREUR mettre un n° de Licence"))))</f>
        <v/>
      </c>
      <c r="J183" s="22"/>
      <c r="K183" s="16" t="str">
        <f t="shared" ca="1" si="4"/>
        <v/>
      </c>
      <c r="L183" s="17" t="str">
        <f t="shared" ca="1" si="5"/>
        <v/>
      </c>
      <c r="M183" s="20"/>
      <c r="N183" s="20"/>
      <c r="O183" s="23"/>
    </row>
    <row r="184" spans="1:15" x14ac:dyDescent="0.25">
      <c r="A184" s="16" t="str">
        <f>IF(H184="","",IF(LOOKUP(H184,Clubs!B$2:C$201)="","",LOOKUP(H184,Clubs!B$2:C$201)))</f>
        <v/>
      </c>
      <c r="B184" s="17">
        <v>180</v>
      </c>
      <c r="C184" s="11" t="s">
        <v>126</v>
      </c>
      <c r="D184" s="27"/>
      <c r="E184" s="19"/>
      <c r="F184" s="19"/>
      <c r="G184" s="20"/>
      <c r="H184" s="21"/>
      <c r="I184" s="18" t="str">
        <f>IF(G184="NL","",IF(AND(G184&lt;&gt;"",H184&lt;&gt;""),LOOKUP(H184,Clubs!B$2:D$201),IF(AND(G184="",H184=""),"",IF(AND(G184&lt;&gt;"",H184=""),"ERREUR mettre un n° de club","ERREUR mettre un n° de Licence"))))</f>
        <v/>
      </c>
      <c r="J184" s="22"/>
      <c r="K184" s="16" t="str">
        <f t="shared" ca="1" si="4"/>
        <v/>
      </c>
      <c r="L184" s="17" t="str">
        <f t="shared" ca="1" si="5"/>
        <v/>
      </c>
      <c r="M184" s="20"/>
      <c r="N184" s="20"/>
      <c r="O184" s="23"/>
    </row>
    <row r="185" spans="1:15" x14ac:dyDescent="0.25">
      <c r="A185" s="16" t="str">
        <f>IF(H185="","",IF(LOOKUP(H185,Clubs!B$2:C$201)="","",LOOKUP(H185,Clubs!B$2:C$201)))</f>
        <v/>
      </c>
      <c r="B185" s="17">
        <v>181</v>
      </c>
      <c r="C185" s="11" t="s">
        <v>126</v>
      </c>
      <c r="D185" s="27"/>
      <c r="E185" s="19"/>
      <c r="F185" s="19"/>
      <c r="G185" s="20"/>
      <c r="H185" s="21"/>
      <c r="I185" s="18" t="str">
        <f>IF(G185="NL","",IF(AND(G185&lt;&gt;"",H185&lt;&gt;""),LOOKUP(H185,Clubs!B$2:D$201),IF(AND(G185="",H185=""),"",IF(AND(G185&lt;&gt;"",H185=""),"ERREUR mettre un n° de club","ERREUR mettre un n° de Licence"))))</f>
        <v/>
      </c>
      <c r="J185" s="22"/>
      <c r="K185" s="16" t="str">
        <f t="shared" ca="1" si="4"/>
        <v/>
      </c>
      <c r="L185" s="17" t="str">
        <f t="shared" ca="1" si="5"/>
        <v/>
      </c>
      <c r="M185" s="20"/>
      <c r="N185" s="20"/>
      <c r="O185" s="23"/>
    </row>
    <row r="186" spans="1:15" x14ac:dyDescent="0.25">
      <c r="A186" s="16" t="str">
        <f>IF(H186="","",IF(LOOKUP(H186,Clubs!B$2:C$201)="","",LOOKUP(H186,Clubs!B$2:C$201)))</f>
        <v/>
      </c>
      <c r="B186" s="17">
        <v>182</v>
      </c>
      <c r="C186" s="11" t="s">
        <v>126</v>
      </c>
      <c r="D186" s="27"/>
      <c r="E186" s="19"/>
      <c r="F186" s="19"/>
      <c r="G186" s="20"/>
      <c r="H186" s="21"/>
      <c r="I186" s="18" t="str">
        <f>IF(G186="NL","",IF(AND(G186&lt;&gt;"",H186&lt;&gt;""),LOOKUP(H186,Clubs!B$2:D$201),IF(AND(G186="",H186=""),"",IF(AND(G186&lt;&gt;"",H186=""),"ERREUR mettre un n° de club","ERREUR mettre un n° de Licence"))))</f>
        <v/>
      </c>
      <c r="J186" s="22"/>
      <c r="K186" s="16" t="str">
        <f t="shared" ca="1" si="4"/>
        <v/>
      </c>
      <c r="L186" s="17" t="str">
        <f t="shared" ca="1" si="5"/>
        <v/>
      </c>
      <c r="M186" s="20"/>
      <c r="N186" s="20"/>
      <c r="O186" s="23"/>
    </row>
    <row r="187" spans="1:15" x14ac:dyDescent="0.25">
      <c r="A187" s="16" t="str">
        <f>IF(H187="","",IF(LOOKUP(H187,Clubs!B$2:C$201)="","",LOOKUP(H187,Clubs!B$2:C$201)))</f>
        <v/>
      </c>
      <c r="B187" s="17">
        <v>183</v>
      </c>
      <c r="C187" s="11" t="s">
        <v>126</v>
      </c>
      <c r="D187" s="27"/>
      <c r="E187" s="19"/>
      <c r="F187" s="19"/>
      <c r="G187" s="20"/>
      <c r="H187" s="21"/>
      <c r="I187" s="18" t="str">
        <f>IF(G187="NL","",IF(AND(G187&lt;&gt;"",H187&lt;&gt;""),LOOKUP(H187,Clubs!B$2:D$201),IF(AND(G187="",H187=""),"",IF(AND(G187&lt;&gt;"",H187=""),"ERREUR mettre un n° de club","ERREUR mettre un n° de Licence"))))</f>
        <v/>
      </c>
      <c r="J187" s="22"/>
      <c r="K187" s="16" t="str">
        <f t="shared" ca="1" si="4"/>
        <v/>
      </c>
      <c r="L187" s="17" t="str">
        <f t="shared" ca="1" si="5"/>
        <v/>
      </c>
      <c r="M187" s="20"/>
      <c r="N187" s="20"/>
      <c r="O187" s="23"/>
    </row>
    <row r="188" spans="1:15" x14ac:dyDescent="0.25">
      <c r="A188" s="16" t="str">
        <f>IF(H188="","",IF(LOOKUP(H188,Clubs!B$2:C$201)="","",LOOKUP(H188,Clubs!B$2:C$201)))</f>
        <v/>
      </c>
      <c r="B188" s="17">
        <v>184</v>
      </c>
      <c r="C188" s="11" t="s">
        <v>126</v>
      </c>
      <c r="D188" s="27"/>
      <c r="E188" s="19"/>
      <c r="F188" s="19"/>
      <c r="G188" s="20"/>
      <c r="H188" s="21"/>
      <c r="I188" s="18" t="str">
        <f>IF(G188="NL","",IF(AND(G188&lt;&gt;"",H188&lt;&gt;""),LOOKUP(H188,Clubs!B$2:D$201),IF(AND(G188="",H188=""),"",IF(AND(G188&lt;&gt;"",H188=""),"ERREUR mettre un n° de club","ERREUR mettre un n° de Licence"))))</f>
        <v/>
      </c>
      <c r="J188" s="22"/>
      <c r="K188" s="16" t="str">
        <f t="shared" ca="1" si="4"/>
        <v/>
      </c>
      <c r="L188" s="17" t="str">
        <f t="shared" ca="1" si="5"/>
        <v/>
      </c>
      <c r="M188" s="20"/>
      <c r="N188" s="20"/>
      <c r="O188" s="23"/>
    </row>
    <row r="189" spans="1:15" x14ac:dyDescent="0.25">
      <c r="A189" s="16" t="str">
        <f>IF(H189="","",IF(LOOKUP(H189,Clubs!B$2:C$201)="","",LOOKUP(H189,Clubs!B$2:C$201)))</f>
        <v/>
      </c>
      <c r="B189" s="17">
        <v>185</v>
      </c>
      <c r="C189" s="11" t="s">
        <v>126</v>
      </c>
      <c r="D189" s="27"/>
      <c r="E189" s="19"/>
      <c r="F189" s="19"/>
      <c r="G189" s="20"/>
      <c r="H189" s="21"/>
      <c r="I189" s="18" t="str">
        <f>IF(G189="NL","",IF(AND(G189&lt;&gt;"",H189&lt;&gt;""),LOOKUP(H189,Clubs!B$2:D$201),IF(AND(G189="",H189=""),"",IF(AND(G189&lt;&gt;"",H189=""),"ERREUR mettre un n° de club","ERREUR mettre un n° de Licence"))))</f>
        <v/>
      </c>
      <c r="J189" s="22"/>
      <c r="K189" s="16" t="str">
        <f t="shared" ca="1" si="4"/>
        <v/>
      </c>
      <c r="L189" s="17" t="str">
        <f t="shared" ca="1" si="5"/>
        <v/>
      </c>
      <c r="M189" s="20"/>
      <c r="N189" s="20"/>
      <c r="O189" s="23"/>
    </row>
    <row r="190" spans="1:15" x14ac:dyDescent="0.25">
      <c r="A190" s="16" t="str">
        <f>IF(H190="","",IF(LOOKUP(H190,Clubs!B$2:C$201)="","",LOOKUP(H190,Clubs!B$2:C$201)))</f>
        <v/>
      </c>
      <c r="B190" s="17">
        <v>186</v>
      </c>
      <c r="C190" s="11" t="s">
        <v>126</v>
      </c>
      <c r="D190" s="27"/>
      <c r="E190" s="19"/>
      <c r="F190" s="19"/>
      <c r="G190" s="20"/>
      <c r="H190" s="21"/>
      <c r="I190" s="18" t="str">
        <f>IF(G190="NL","",IF(AND(G190&lt;&gt;"",H190&lt;&gt;""),LOOKUP(H190,Clubs!B$2:D$201),IF(AND(G190="",H190=""),"",IF(AND(G190&lt;&gt;"",H190=""),"ERREUR mettre un n° de club","ERREUR mettre un n° de Licence"))))</f>
        <v/>
      </c>
      <c r="J190" s="22"/>
      <c r="K190" s="16" t="str">
        <f t="shared" ca="1" si="4"/>
        <v/>
      </c>
      <c r="L190" s="17" t="str">
        <f t="shared" ca="1" si="5"/>
        <v/>
      </c>
      <c r="M190" s="20"/>
      <c r="N190" s="20"/>
      <c r="O190" s="23"/>
    </row>
    <row r="191" spans="1:15" x14ac:dyDescent="0.25">
      <c r="A191" s="16" t="str">
        <f>IF(H191="","",IF(LOOKUP(H191,Clubs!B$2:C$201)="","",LOOKUP(H191,Clubs!B$2:C$201)))</f>
        <v/>
      </c>
      <c r="B191" s="17">
        <v>187</v>
      </c>
      <c r="C191" s="11" t="s">
        <v>126</v>
      </c>
      <c r="D191" s="27"/>
      <c r="E191" s="19"/>
      <c r="F191" s="19"/>
      <c r="G191" s="20"/>
      <c r="H191" s="21"/>
      <c r="I191" s="18" t="str">
        <f>IF(G191="NL","",IF(AND(G191&lt;&gt;"",H191&lt;&gt;""),LOOKUP(H191,Clubs!B$2:D$201),IF(AND(G191="",H191=""),"",IF(AND(G191&lt;&gt;"",H191=""),"ERREUR mettre un n° de club","ERREUR mettre un n° de Licence"))))</f>
        <v/>
      </c>
      <c r="J191" s="22"/>
      <c r="K191" s="16" t="str">
        <f t="shared" ca="1" si="4"/>
        <v/>
      </c>
      <c r="L191" s="17" t="str">
        <f t="shared" ca="1" si="5"/>
        <v/>
      </c>
      <c r="M191" s="20"/>
      <c r="N191" s="20"/>
      <c r="O191" s="23"/>
    </row>
    <row r="192" spans="1:15" x14ac:dyDescent="0.25">
      <c r="A192" s="16" t="str">
        <f>IF(H192="","",IF(LOOKUP(H192,Clubs!B$2:C$201)="","",LOOKUP(H192,Clubs!B$2:C$201)))</f>
        <v/>
      </c>
      <c r="B192" s="17">
        <v>188</v>
      </c>
      <c r="C192" s="11" t="s">
        <v>126</v>
      </c>
      <c r="D192" s="27"/>
      <c r="E192" s="19"/>
      <c r="F192" s="19"/>
      <c r="G192" s="20"/>
      <c r="H192" s="21"/>
      <c r="I192" s="18" t="str">
        <f>IF(G192="NL","",IF(AND(G192&lt;&gt;"",H192&lt;&gt;""),LOOKUP(H192,Clubs!B$2:D$201),IF(AND(G192="",H192=""),"",IF(AND(G192&lt;&gt;"",H192=""),"ERREUR mettre un n° de club","ERREUR mettre un n° de Licence"))))</f>
        <v/>
      </c>
      <c r="J192" s="22"/>
      <c r="K192" s="16" t="str">
        <f t="shared" ca="1" si="4"/>
        <v/>
      </c>
      <c r="L192" s="17" t="str">
        <f t="shared" ca="1" si="5"/>
        <v/>
      </c>
      <c r="M192" s="20"/>
      <c r="N192" s="20"/>
      <c r="O192" s="23"/>
    </row>
    <row r="193" spans="1:15" x14ac:dyDescent="0.25">
      <c r="A193" s="16" t="str">
        <f>IF(H193="","",IF(LOOKUP(H193,Clubs!B$2:C$201)="","",LOOKUP(H193,Clubs!B$2:C$201)))</f>
        <v/>
      </c>
      <c r="B193" s="17">
        <v>189</v>
      </c>
      <c r="C193" s="11" t="s">
        <v>126</v>
      </c>
      <c r="D193" s="27"/>
      <c r="E193" s="19"/>
      <c r="F193" s="19"/>
      <c r="G193" s="20"/>
      <c r="H193" s="21"/>
      <c r="I193" s="18" t="str">
        <f>IF(G193="NL","",IF(AND(G193&lt;&gt;"",H193&lt;&gt;""),LOOKUP(H193,Clubs!B$2:D$201),IF(AND(G193="",H193=""),"",IF(AND(G193&lt;&gt;"",H193=""),"ERREUR mettre un n° de club","ERREUR mettre un n° de Licence"))))</f>
        <v/>
      </c>
      <c r="J193" s="22"/>
      <c r="K193" s="16" t="str">
        <f t="shared" ca="1" si="4"/>
        <v/>
      </c>
      <c r="L193" s="17" t="str">
        <f t="shared" ca="1" si="5"/>
        <v/>
      </c>
      <c r="M193" s="20"/>
      <c r="N193" s="20"/>
      <c r="O193" s="23"/>
    </row>
    <row r="194" spans="1:15" x14ac:dyDescent="0.25">
      <c r="A194" s="16" t="str">
        <f>IF(H194="","",IF(LOOKUP(H194,Clubs!B$2:C$201)="","",LOOKUP(H194,Clubs!B$2:C$201)))</f>
        <v/>
      </c>
      <c r="B194" s="17">
        <v>190</v>
      </c>
      <c r="C194" s="11" t="s">
        <v>126</v>
      </c>
      <c r="D194" s="27"/>
      <c r="E194" s="19"/>
      <c r="F194" s="19"/>
      <c r="G194" s="20"/>
      <c r="H194" s="21"/>
      <c r="I194" s="18" t="str">
        <f>IF(G194="NL","",IF(AND(G194&lt;&gt;"",H194&lt;&gt;""),LOOKUP(H194,Clubs!B$2:D$201),IF(AND(G194="",H194=""),"",IF(AND(G194&lt;&gt;"",H194=""),"ERREUR mettre un n° de club","ERREUR mettre un n° de Licence"))))</f>
        <v/>
      </c>
      <c r="J194" s="22"/>
      <c r="K194" s="16" t="str">
        <f t="shared" ca="1" si="4"/>
        <v/>
      </c>
      <c r="L194" s="17" t="str">
        <f t="shared" ca="1" si="5"/>
        <v/>
      </c>
      <c r="M194" s="20"/>
      <c r="N194" s="20"/>
      <c r="O194" s="23"/>
    </row>
    <row r="195" spans="1:15" x14ac:dyDescent="0.25">
      <c r="A195" s="16" t="str">
        <f>IF(H195="","",IF(LOOKUP(H195,Clubs!B$2:C$201)="","",LOOKUP(H195,Clubs!B$2:C$201)))</f>
        <v/>
      </c>
      <c r="B195" s="17">
        <v>191</v>
      </c>
      <c r="C195" s="11" t="s">
        <v>126</v>
      </c>
      <c r="D195" s="27"/>
      <c r="E195" s="19"/>
      <c r="F195" s="19"/>
      <c r="G195" s="20"/>
      <c r="H195" s="21"/>
      <c r="I195" s="18" t="str">
        <f>IF(G195="NL","",IF(AND(G195&lt;&gt;"",H195&lt;&gt;""),LOOKUP(H195,Clubs!B$2:D$201),IF(AND(G195="",H195=""),"",IF(AND(G195&lt;&gt;"",H195=""),"ERREUR mettre un n° de club","ERREUR mettre un n° de Licence"))))</f>
        <v/>
      </c>
      <c r="J195" s="22"/>
      <c r="K195" s="16" t="str">
        <f t="shared" ca="1" si="4"/>
        <v/>
      </c>
      <c r="L195" s="17" t="str">
        <f t="shared" ca="1" si="5"/>
        <v/>
      </c>
      <c r="M195" s="20"/>
      <c r="N195" s="20"/>
      <c r="O195" s="23"/>
    </row>
    <row r="196" spans="1:15" x14ac:dyDescent="0.25">
      <c r="A196" s="16" t="str">
        <f>IF(H196="","",IF(LOOKUP(H196,Clubs!B$2:C$201)="","",LOOKUP(H196,Clubs!B$2:C$201)))</f>
        <v/>
      </c>
      <c r="B196" s="17">
        <v>192</v>
      </c>
      <c r="C196" s="11" t="s">
        <v>126</v>
      </c>
      <c r="D196" s="27"/>
      <c r="E196" s="19"/>
      <c r="F196" s="19"/>
      <c r="G196" s="20"/>
      <c r="H196" s="21"/>
      <c r="I196" s="18" t="str">
        <f>IF(G196="NL","",IF(AND(G196&lt;&gt;"",H196&lt;&gt;""),LOOKUP(H196,Clubs!B$2:D$201),IF(AND(G196="",H196=""),"",IF(AND(G196&lt;&gt;"",H196=""),"ERREUR mettre un n° de club","ERREUR mettre un n° de Licence"))))</f>
        <v/>
      </c>
      <c r="J196" s="22"/>
      <c r="K196" s="16" t="str">
        <f t="shared" ca="1" si="4"/>
        <v/>
      </c>
      <c r="L196" s="17" t="str">
        <f t="shared" ca="1" si="5"/>
        <v/>
      </c>
      <c r="M196" s="20"/>
      <c r="N196" s="20"/>
      <c r="O196" s="23"/>
    </row>
    <row r="197" spans="1:15" x14ac:dyDescent="0.25">
      <c r="A197" s="16" t="str">
        <f>IF(H197="","",IF(LOOKUP(H197,Clubs!B$2:C$201)="","",LOOKUP(H197,Clubs!B$2:C$201)))</f>
        <v/>
      </c>
      <c r="B197" s="17">
        <v>193</v>
      </c>
      <c r="C197" s="11" t="s">
        <v>126</v>
      </c>
      <c r="D197" s="27"/>
      <c r="E197" s="19"/>
      <c r="F197" s="19"/>
      <c r="G197" s="20"/>
      <c r="H197" s="21"/>
      <c r="I197" s="18" t="str">
        <f>IF(G197="NL","",IF(AND(G197&lt;&gt;"",H197&lt;&gt;""),LOOKUP(H197,Clubs!B$2:D$201),IF(AND(G197="",H197=""),"",IF(AND(G197&lt;&gt;"",H197=""),"ERREUR mettre un n° de club","ERREUR mettre un n° de Licence"))))</f>
        <v/>
      </c>
      <c r="J197" s="22"/>
      <c r="K197" s="16" t="str">
        <f t="shared" ca="1" si="4"/>
        <v/>
      </c>
      <c r="L197" s="17" t="str">
        <f t="shared" ca="1" si="5"/>
        <v/>
      </c>
      <c r="M197" s="20"/>
      <c r="N197" s="20"/>
      <c r="O197" s="23"/>
    </row>
    <row r="198" spans="1:15" x14ac:dyDescent="0.25">
      <c r="A198" s="16" t="str">
        <f>IF(H198="","",IF(LOOKUP(H198,Clubs!B$2:C$201)="","",LOOKUP(H198,Clubs!B$2:C$201)))</f>
        <v/>
      </c>
      <c r="B198" s="17">
        <v>194</v>
      </c>
      <c r="C198" s="11" t="s">
        <v>126</v>
      </c>
      <c r="D198" s="27"/>
      <c r="E198" s="19"/>
      <c r="F198" s="19"/>
      <c r="G198" s="20"/>
      <c r="H198" s="21"/>
      <c r="I198" s="18" t="str">
        <f>IF(G198="NL","",IF(AND(G198&lt;&gt;"",H198&lt;&gt;""),LOOKUP(H198,Clubs!B$2:D$201),IF(AND(G198="",H198=""),"",IF(AND(G198&lt;&gt;"",H198=""),"ERREUR mettre un n° de club","ERREUR mettre un n° de Licence"))))</f>
        <v/>
      </c>
      <c r="J198" s="22"/>
      <c r="K198" s="16" t="str">
        <f t="shared" ref="K198:K204" ca="1" si="6">IF(J198="","",YEAR(TODAY())-YEAR(J198))</f>
        <v/>
      </c>
      <c r="L198" s="17" t="str">
        <f t="shared" ref="L198:L204" ca="1" si="7">IF(K198="","",IF(K198&lt;13,"PUPILLE",IF(AND(K198&gt;12,K198&lt;15),"MINIME",IF(AND(K198&gt;14,K198&lt;17),"CADET",IF(AND(K198&gt;15,K198&lt;19),"JUNIOR","SENIOR")))))</f>
        <v/>
      </c>
      <c r="M198" s="20"/>
      <c r="N198" s="20"/>
      <c r="O198" s="23"/>
    </row>
    <row r="199" spans="1:15" x14ac:dyDescent="0.25">
      <c r="A199" s="16" t="str">
        <f>IF(H199="","",IF(LOOKUP(H199,Clubs!B$2:C$201)="","",LOOKUP(H199,Clubs!B$2:C$201)))</f>
        <v/>
      </c>
      <c r="B199" s="17">
        <v>195</v>
      </c>
      <c r="C199" s="11" t="s">
        <v>126</v>
      </c>
      <c r="D199" s="27"/>
      <c r="E199" s="19"/>
      <c r="F199" s="19"/>
      <c r="G199" s="20"/>
      <c r="H199" s="21"/>
      <c r="I199" s="18" t="str">
        <f>IF(G199="NL","",IF(AND(G199&lt;&gt;"",H199&lt;&gt;""),LOOKUP(H199,Clubs!B$2:D$201),IF(AND(G199="",H199=""),"",IF(AND(G199&lt;&gt;"",H199=""),"ERREUR mettre un n° de club","ERREUR mettre un n° de Licence"))))</f>
        <v/>
      </c>
      <c r="J199" s="22"/>
      <c r="K199" s="16" t="str">
        <f t="shared" ca="1" si="6"/>
        <v/>
      </c>
      <c r="L199" s="17" t="str">
        <f t="shared" ca="1" si="7"/>
        <v/>
      </c>
      <c r="M199" s="20"/>
      <c r="N199" s="20"/>
      <c r="O199" s="23"/>
    </row>
    <row r="200" spans="1:15" x14ac:dyDescent="0.25">
      <c r="A200" s="16" t="str">
        <f>IF(H200="","",IF(LOOKUP(H200,Clubs!B$2:C$201)="","",LOOKUP(H200,Clubs!B$2:C$201)))</f>
        <v/>
      </c>
      <c r="B200" s="17">
        <v>196</v>
      </c>
      <c r="C200" s="11" t="s">
        <v>126</v>
      </c>
      <c r="D200" s="27"/>
      <c r="E200" s="19"/>
      <c r="F200" s="19"/>
      <c r="G200" s="20"/>
      <c r="H200" s="21"/>
      <c r="I200" s="18" t="str">
        <f>IF(G200="NL","",IF(AND(G200&lt;&gt;"",H200&lt;&gt;""),LOOKUP(H200,Clubs!B$2:D$201),IF(AND(G200="",H200=""),"",IF(AND(G200&lt;&gt;"",H200=""),"ERREUR mettre un n° de club","ERREUR mettre un n° de Licence"))))</f>
        <v/>
      </c>
      <c r="J200" s="22"/>
      <c r="K200" s="16" t="str">
        <f t="shared" ca="1" si="6"/>
        <v/>
      </c>
      <c r="L200" s="17" t="str">
        <f t="shared" ca="1" si="7"/>
        <v/>
      </c>
      <c r="M200" s="20"/>
      <c r="N200" s="20"/>
      <c r="O200" s="23"/>
    </row>
    <row r="201" spans="1:15" x14ac:dyDescent="0.25">
      <c r="A201" s="16" t="str">
        <f>IF(H201="","",IF(LOOKUP(H201,Clubs!B$2:C$201)="","",LOOKUP(H201,Clubs!B$2:C$201)))</f>
        <v/>
      </c>
      <c r="B201" s="17">
        <v>197</v>
      </c>
      <c r="C201" s="11" t="s">
        <v>126</v>
      </c>
      <c r="D201" s="27"/>
      <c r="E201" s="19"/>
      <c r="F201" s="19"/>
      <c r="G201" s="20"/>
      <c r="H201" s="21"/>
      <c r="I201" s="18" t="str">
        <f>IF(G201="NL","",IF(AND(G201&lt;&gt;"",H201&lt;&gt;""),LOOKUP(H201,Clubs!B$2:D$201),IF(AND(G201="",H201=""),"",IF(AND(G201&lt;&gt;"",H201=""),"ERREUR mettre un n° de club","ERREUR mettre un n° de Licence"))))</f>
        <v/>
      </c>
      <c r="J201" s="22"/>
      <c r="K201" s="16" t="str">
        <f t="shared" ca="1" si="6"/>
        <v/>
      </c>
      <c r="L201" s="17" t="str">
        <f t="shared" ca="1" si="7"/>
        <v/>
      </c>
      <c r="M201" s="20"/>
      <c r="N201" s="20"/>
      <c r="O201" s="23"/>
    </row>
    <row r="202" spans="1:15" x14ac:dyDescent="0.25">
      <c r="A202" s="16" t="str">
        <f>IF(H202="","",IF(LOOKUP(H202,Clubs!B$2:C$201)="","",LOOKUP(H202,Clubs!B$2:C$201)))</f>
        <v/>
      </c>
      <c r="B202" s="17">
        <v>198</v>
      </c>
      <c r="C202" s="11" t="s">
        <v>126</v>
      </c>
      <c r="D202" s="27"/>
      <c r="E202" s="19"/>
      <c r="F202" s="19"/>
      <c r="G202" s="20"/>
      <c r="H202" s="21"/>
      <c r="I202" s="18" t="str">
        <f>IF(G202="NL","",IF(AND(G202&lt;&gt;"",H202&lt;&gt;""),LOOKUP(H202,Clubs!B$2:D$201),IF(AND(G202="",H202=""),"",IF(AND(G202&lt;&gt;"",H202=""),"ERREUR mettre un n° de club","ERREUR mettre un n° de Licence"))))</f>
        <v/>
      </c>
      <c r="J202" s="22"/>
      <c r="K202" s="16" t="str">
        <f t="shared" ca="1" si="6"/>
        <v/>
      </c>
      <c r="L202" s="17" t="str">
        <f t="shared" ca="1" si="7"/>
        <v/>
      </c>
      <c r="M202" s="20"/>
      <c r="N202" s="20"/>
      <c r="O202" s="23"/>
    </row>
    <row r="203" spans="1:15" x14ac:dyDescent="0.25">
      <c r="A203" s="16" t="str">
        <f>IF(H203="","",IF(LOOKUP(H203,Clubs!B$2:C$201)="","",LOOKUP(H203,Clubs!B$2:C$201)))</f>
        <v/>
      </c>
      <c r="B203" s="17">
        <v>199</v>
      </c>
      <c r="C203" s="11" t="s">
        <v>126</v>
      </c>
      <c r="D203" s="27"/>
      <c r="E203" s="19"/>
      <c r="F203" s="19"/>
      <c r="G203" s="20"/>
      <c r="H203" s="21"/>
      <c r="I203" s="18" t="str">
        <f>IF(G203="NL","",IF(AND(G203&lt;&gt;"",H203&lt;&gt;""),LOOKUP(H203,Clubs!B$2:D$201),IF(AND(G203="",H203=""),"",IF(AND(G203&lt;&gt;"",H203=""),"ERREUR mettre un n° de club","ERREUR mettre un n° de Licence"))))</f>
        <v/>
      </c>
      <c r="J203" s="22"/>
      <c r="K203" s="16" t="str">
        <f t="shared" ca="1" si="6"/>
        <v/>
      </c>
      <c r="L203" s="17" t="str">
        <f t="shared" ca="1" si="7"/>
        <v/>
      </c>
      <c r="M203" s="20"/>
      <c r="N203" s="20"/>
      <c r="O203" s="23"/>
    </row>
    <row r="204" spans="1:15" x14ac:dyDescent="0.25">
      <c r="A204" s="16" t="str">
        <f>IF(H204="","",IF(LOOKUP(H204,Clubs!B$2:C$201)="","",LOOKUP(H204,Clubs!B$2:C$201)))</f>
        <v/>
      </c>
      <c r="B204" s="17">
        <v>200</v>
      </c>
      <c r="C204" s="11" t="s">
        <v>126</v>
      </c>
      <c r="D204" s="27"/>
      <c r="E204" s="19"/>
      <c r="F204" s="19"/>
      <c r="G204" s="20"/>
      <c r="H204" s="21"/>
      <c r="I204" s="18" t="str">
        <f>IF(G204="NL","",IF(AND(G204&lt;&gt;"",H204&lt;&gt;""),LOOKUP(H204,Clubs!B$2:D$201),IF(AND(G204="",H204=""),"",IF(AND(G204&lt;&gt;"",H204=""),"ERREUR mettre un n° de club","ERREUR mettre un n° de Licence"))))</f>
        <v/>
      </c>
      <c r="J204" s="22"/>
      <c r="K204" s="16" t="str">
        <f t="shared" ca="1" si="6"/>
        <v/>
      </c>
      <c r="L204" s="17" t="str">
        <f t="shared" ca="1" si="7"/>
        <v/>
      </c>
      <c r="M204" s="20"/>
      <c r="N204" s="20"/>
      <c r="O204" s="23"/>
    </row>
    <row r="205" spans="1:15" hidden="1" x14ac:dyDescent="0.25">
      <c r="A205" s="9"/>
      <c r="B205" s="9"/>
      <c r="C205" s="9"/>
      <c r="D205" s="9"/>
      <c r="E205" s="10"/>
      <c r="F205" s="10"/>
      <c r="G205" s="9"/>
      <c r="H205" s="9"/>
      <c r="I205" s="10"/>
      <c r="J205" s="9"/>
      <c r="K205" s="9"/>
      <c r="L205" s="9"/>
      <c r="M205" s="9"/>
      <c r="N205" s="9"/>
      <c r="O205" s="7"/>
    </row>
    <row r="206" spans="1:15" hidden="1" x14ac:dyDescent="0.25">
      <c r="A206" s="9"/>
      <c r="B206" s="9"/>
      <c r="C206" s="9"/>
      <c r="D206" s="9"/>
      <c r="E206" s="10"/>
      <c r="F206" s="10"/>
      <c r="G206" s="9"/>
      <c r="H206" s="9"/>
      <c r="I206" s="10"/>
      <c r="J206" s="9"/>
      <c r="K206" s="9"/>
      <c r="L206" s="9"/>
      <c r="M206" s="9"/>
      <c r="N206" s="9"/>
      <c r="O206" s="7"/>
    </row>
    <row r="207" spans="1:15" hidden="1" x14ac:dyDescent="0.25">
      <c r="A207" s="9"/>
      <c r="B207" s="9"/>
      <c r="C207" s="9"/>
      <c r="D207" s="9"/>
      <c r="E207" s="10"/>
      <c r="F207" s="10"/>
      <c r="G207" s="9"/>
      <c r="H207" s="9"/>
      <c r="I207" s="10"/>
      <c r="J207" s="9"/>
      <c r="K207" s="9"/>
      <c r="L207" s="9"/>
      <c r="M207" s="9"/>
      <c r="N207" s="9"/>
      <c r="O207" s="7"/>
    </row>
  </sheetData>
  <sheetProtection formatCells="0" selectLockedCells="1"/>
  <mergeCells count="1">
    <mergeCell ref="A1:N1"/>
  </mergeCells>
  <conditionalFormatting sqref="O5:O204">
    <cfRule type="expression" dxfId="3" priority="2">
      <formula>IF(M5="SENTIER / COYOTES",TRUE,FALSE)</formula>
    </cfRule>
    <cfRule type="expression" dxfId="2" priority="3">
      <formula>IF(M5="PISTE / RENARDS",TRUE,FALSE)</formula>
    </cfRule>
    <cfRule type="expression" dxfId="1" priority="4">
      <formula>IF(M5="CHEMIN / MARCASSINS",TRUE,FALSE)</formula>
    </cfRule>
  </conditionalFormatting>
  <conditionalFormatting sqref="O5:O204">
    <cfRule type="expression" dxfId="0" priority="1">
      <formula>IF(AND(E5&lt;&gt;"",M5=""),TRUE,FALSE)</formula>
    </cfRule>
  </conditionalFormatting>
  <dataValidations count="2">
    <dataValidation type="list" allowBlank="1" showInputMessage="1" showErrorMessage="1" sqref="M5:M204">
      <formula1>"CHEMIN / MARCASSINS,PISTE / RENARDS,SENTIER / COYOTES"</formula1>
    </dataValidation>
    <dataValidation type="list" allowBlank="1" showInputMessage="1" showErrorMessage="1" sqref="N5:N204">
      <formula1>"F,G"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01"/>
  <sheetViews>
    <sheetView topLeftCell="A65" workbookViewId="0">
      <selection activeCell="B76" sqref="B76:E82"/>
    </sheetView>
  </sheetViews>
  <sheetFormatPr baseColWidth="10" defaultRowHeight="15" x14ac:dyDescent="0.25"/>
  <cols>
    <col min="2" max="2" width="7.5703125" style="1" bestFit="1" customWidth="1"/>
    <col min="3" max="3" width="6.28515625" style="15" bestFit="1" customWidth="1"/>
    <col min="4" max="4" width="53.7109375" style="1" bestFit="1" customWidth="1"/>
    <col min="5" max="16384" width="11.42578125" style="1"/>
  </cols>
  <sheetData>
    <row r="1" spans="1:5" x14ac:dyDescent="0.25">
      <c r="A1" s="1"/>
      <c r="B1" s="3" t="s">
        <v>11</v>
      </c>
      <c r="C1" s="14" t="s">
        <v>0</v>
      </c>
      <c r="D1" s="3" t="s">
        <v>5</v>
      </c>
      <c r="E1" s="3" t="s">
        <v>12</v>
      </c>
    </row>
    <row r="2" spans="1:5" x14ac:dyDescent="0.25">
      <c r="A2" s="1"/>
      <c r="B2" s="4">
        <v>737</v>
      </c>
      <c r="C2" s="14"/>
      <c r="D2" s="5" t="s">
        <v>13</v>
      </c>
      <c r="E2" s="6">
        <v>83</v>
      </c>
    </row>
    <row r="3" spans="1:5" x14ac:dyDescent="0.25">
      <c r="A3" s="1"/>
      <c r="B3" s="4">
        <v>756</v>
      </c>
      <c r="C3" s="14"/>
      <c r="D3" s="5" t="s">
        <v>14</v>
      </c>
      <c r="E3" s="6">
        <v>6</v>
      </c>
    </row>
    <row r="4" spans="1:5" x14ac:dyDescent="0.25">
      <c r="A4" s="1"/>
      <c r="B4" s="4">
        <v>789</v>
      </c>
      <c r="C4" s="14" t="s">
        <v>96</v>
      </c>
      <c r="D4" s="5" t="s">
        <v>15</v>
      </c>
      <c r="E4" s="6">
        <v>83</v>
      </c>
    </row>
    <row r="5" spans="1:5" x14ac:dyDescent="0.25">
      <c r="A5" s="1"/>
      <c r="B5" s="4">
        <v>840</v>
      </c>
      <c r="C5" s="14"/>
      <c r="D5" s="5" t="s">
        <v>16</v>
      </c>
      <c r="E5" s="6">
        <v>83</v>
      </c>
    </row>
    <row r="6" spans="1:5" x14ac:dyDescent="0.25">
      <c r="A6" s="1"/>
      <c r="B6" s="4">
        <v>847</v>
      </c>
      <c r="C6" s="14"/>
      <c r="D6" s="5" t="s">
        <v>17</v>
      </c>
      <c r="E6" s="6">
        <v>83</v>
      </c>
    </row>
    <row r="7" spans="1:5" x14ac:dyDescent="0.25">
      <c r="A7" s="1"/>
      <c r="B7" s="4">
        <v>887</v>
      </c>
      <c r="C7" s="14"/>
      <c r="D7" s="5" t="s">
        <v>18</v>
      </c>
      <c r="E7" s="6">
        <v>6</v>
      </c>
    </row>
    <row r="8" spans="1:5" x14ac:dyDescent="0.25">
      <c r="A8" s="1"/>
      <c r="B8" s="4">
        <v>975</v>
      </c>
      <c r="C8" s="14"/>
      <c r="D8" s="5" t="s">
        <v>19</v>
      </c>
      <c r="E8" s="6">
        <v>83</v>
      </c>
    </row>
    <row r="9" spans="1:5" x14ac:dyDescent="0.25">
      <c r="A9" s="1"/>
      <c r="B9" s="4">
        <v>1085</v>
      </c>
      <c r="C9" s="14" t="s">
        <v>90</v>
      </c>
      <c r="D9" s="5" t="s">
        <v>20</v>
      </c>
      <c r="E9" s="6">
        <v>83</v>
      </c>
    </row>
    <row r="10" spans="1:5" x14ac:dyDescent="0.25">
      <c r="A10" s="1"/>
      <c r="B10" s="4">
        <v>1129</v>
      </c>
      <c r="C10" s="14" t="s">
        <v>91</v>
      </c>
      <c r="D10" s="5" t="s">
        <v>21</v>
      </c>
      <c r="E10" s="6">
        <v>83</v>
      </c>
    </row>
    <row r="11" spans="1:5" x14ac:dyDescent="0.25">
      <c r="A11" s="1"/>
      <c r="B11" s="4">
        <v>1145</v>
      </c>
      <c r="C11" s="14"/>
      <c r="D11" s="5" t="s">
        <v>22</v>
      </c>
      <c r="E11" s="6">
        <v>83</v>
      </c>
    </row>
    <row r="12" spans="1:5" x14ac:dyDescent="0.25">
      <c r="A12" s="1"/>
      <c r="B12" s="4">
        <v>1165</v>
      </c>
      <c r="C12" s="14"/>
      <c r="D12" s="5" t="s">
        <v>23</v>
      </c>
      <c r="E12" s="6">
        <v>83</v>
      </c>
    </row>
    <row r="13" spans="1:5" x14ac:dyDescent="0.25">
      <c r="A13" s="1"/>
      <c r="B13" s="4">
        <v>1377</v>
      </c>
      <c r="C13" s="14"/>
      <c r="D13" s="5" t="s">
        <v>24</v>
      </c>
      <c r="E13" s="6">
        <v>83</v>
      </c>
    </row>
    <row r="14" spans="1:5" x14ac:dyDescent="0.25">
      <c r="A14" s="1"/>
      <c r="B14" s="4">
        <v>1395</v>
      </c>
      <c r="C14" s="14"/>
      <c r="D14" s="5" t="s">
        <v>25</v>
      </c>
      <c r="E14" s="6">
        <v>83</v>
      </c>
    </row>
    <row r="15" spans="1:5" x14ac:dyDescent="0.25">
      <c r="A15" s="1"/>
      <c r="B15" s="4">
        <v>1497</v>
      </c>
      <c r="C15" s="14" t="s">
        <v>97</v>
      </c>
      <c r="D15" s="5" t="s">
        <v>26</v>
      </c>
      <c r="E15" s="6">
        <v>83</v>
      </c>
    </row>
    <row r="16" spans="1:5" x14ac:dyDescent="0.25">
      <c r="A16" s="1"/>
      <c r="B16" s="4">
        <v>1719</v>
      </c>
      <c r="C16" s="14"/>
      <c r="D16" s="5" t="s">
        <v>27</v>
      </c>
      <c r="E16" s="6">
        <v>83</v>
      </c>
    </row>
    <row r="17" spans="1:5" x14ac:dyDescent="0.25">
      <c r="A17" s="1"/>
      <c r="B17" s="4">
        <v>2327</v>
      </c>
      <c r="C17" s="14"/>
      <c r="D17" s="5" t="s">
        <v>28</v>
      </c>
      <c r="E17" s="6">
        <v>83</v>
      </c>
    </row>
    <row r="18" spans="1:5" x14ac:dyDescent="0.25">
      <c r="A18" s="1"/>
      <c r="B18" s="4">
        <v>2344</v>
      </c>
      <c r="C18" s="14"/>
      <c r="D18" s="5" t="s">
        <v>29</v>
      </c>
      <c r="E18" s="6">
        <v>83</v>
      </c>
    </row>
    <row r="19" spans="1:5" x14ac:dyDescent="0.25">
      <c r="A19" s="1"/>
      <c r="B19" s="4">
        <v>2590</v>
      </c>
      <c r="C19" s="14" t="s">
        <v>92</v>
      </c>
      <c r="D19" s="5" t="s">
        <v>30</v>
      </c>
      <c r="E19" s="6">
        <v>83</v>
      </c>
    </row>
    <row r="20" spans="1:5" x14ac:dyDescent="0.25">
      <c r="A20" s="1"/>
      <c r="B20" s="4">
        <v>2771</v>
      </c>
      <c r="C20" s="14"/>
      <c r="D20" s="5" t="s">
        <v>31</v>
      </c>
      <c r="E20" s="6">
        <v>83</v>
      </c>
    </row>
    <row r="21" spans="1:5" x14ac:dyDescent="0.25">
      <c r="A21" s="1"/>
      <c r="B21" s="4">
        <v>2967</v>
      </c>
      <c r="C21" s="14"/>
      <c r="D21" s="5" t="s">
        <v>32</v>
      </c>
      <c r="E21" s="6">
        <v>83</v>
      </c>
    </row>
    <row r="22" spans="1:5" x14ac:dyDescent="0.25">
      <c r="A22" s="1"/>
      <c r="B22" s="4">
        <v>3009</v>
      </c>
      <c r="C22" s="14"/>
      <c r="D22" s="5" t="s">
        <v>33</v>
      </c>
      <c r="E22" s="6">
        <v>83</v>
      </c>
    </row>
    <row r="23" spans="1:5" x14ac:dyDescent="0.25">
      <c r="A23" s="1"/>
      <c r="B23" s="4">
        <v>3036</v>
      </c>
      <c r="C23" s="14"/>
      <c r="D23" s="5" t="s">
        <v>34</v>
      </c>
      <c r="E23" s="6">
        <v>83</v>
      </c>
    </row>
    <row r="24" spans="1:5" x14ac:dyDescent="0.25">
      <c r="A24" s="1"/>
      <c r="B24" s="4">
        <v>3133</v>
      </c>
      <c r="C24" s="14"/>
      <c r="D24" s="5" t="s">
        <v>35</v>
      </c>
      <c r="E24" s="6">
        <v>83</v>
      </c>
    </row>
    <row r="25" spans="1:5" x14ac:dyDescent="0.25">
      <c r="A25" s="1"/>
      <c r="B25" s="4">
        <v>3171</v>
      </c>
      <c r="C25" s="14"/>
      <c r="D25" s="5" t="s">
        <v>36</v>
      </c>
      <c r="E25" s="6">
        <v>83</v>
      </c>
    </row>
    <row r="26" spans="1:5" x14ac:dyDescent="0.25">
      <c r="A26" s="1"/>
      <c r="B26" s="4">
        <v>3251</v>
      </c>
      <c r="C26" s="14"/>
      <c r="D26" s="5" t="s">
        <v>37</v>
      </c>
      <c r="E26" s="6">
        <v>83</v>
      </c>
    </row>
    <row r="27" spans="1:5" x14ac:dyDescent="0.25">
      <c r="A27" s="1"/>
      <c r="B27" s="4">
        <v>3547</v>
      </c>
      <c r="C27" s="14" t="s">
        <v>93</v>
      </c>
      <c r="D27" s="5" t="s">
        <v>38</v>
      </c>
      <c r="E27" s="6">
        <v>83</v>
      </c>
    </row>
    <row r="28" spans="1:5" x14ac:dyDescent="0.25">
      <c r="A28" s="1"/>
      <c r="B28" s="4">
        <v>3756</v>
      </c>
      <c r="C28" s="14" t="s">
        <v>98</v>
      </c>
      <c r="D28" s="5" t="s">
        <v>39</v>
      </c>
      <c r="E28" s="6">
        <v>83</v>
      </c>
    </row>
    <row r="29" spans="1:5" x14ac:dyDescent="0.25">
      <c r="A29" s="1"/>
      <c r="B29" s="4">
        <v>3777</v>
      </c>
      <c r="C29" s="14"/>
      <c r="D29" s="5" t="s">
        <v>40</v>
      </c>
      <c r="E29" s="6">
        <v>6</v>
      </c>
    </row>
    <row r="30" spans="1:5" x14ac:dyDescent="0.25">
      <c r="A30" s="1"/>
      <c r="B30" s="4">
        <v>4062</v>
      </c>
      <c r="C30" s="14"/>
      <c r="D30" s="5" t="s">
        <v>41</v>
      </c>
      <c r="E30" s="6">
        <v>83</v>
      </c>
    </row>
    <row r="31" spans="1:5" x14ac:dyDescent="0.25">
      <c r="A31" s="1"/>
      <c r="B31" s="4">
        <v>4435</v>
      </c>
      <c r="C31" s="14"/>
      <c r="D31" s="5" t="s">
        <v>42</v>
      </c>
      <c r="E31" s="6">
        <v>83</v>
      </c>
    </row>
    <row r="32" spans="1:5" x14ac:dyDescent="0.25">
      <c r="A32" s="1"/>
      <c r="B32" s="4">
        <v>4446</v>
      </c>
      <c r="C32" s="14"/>
      <c r="D32" s="5" t="s">
        <v>43</v>
      </c>
      <c r="E32" s="6">
        <v>6</v>
      </c>
    </row>
    <row r="33" spans="1:5" x14ac:dyDescent="0.25">
      <c r="A33" s="1"/>
      <c r="B33" s="4">
        <v>4648</v>
      </c>
      <c r="C33" s="14"/>
      <c r="D33" s="5" t="s">
        <v>44</v>
      </c>
      <c r="E33" s="6">
        <v>6</v>
      </c>
    </row>
    <row r="34" spans="1:5" x14ac:dyDescent="0.25">
      <c r="A34" s="1"/>
      <c r="B34" s="4">
        <v>4779</v>
      </c>
      <c r="C34" s="14"/>
      <c r="D34" s="5" t="s">
        <v>45</v>
      </c>
      <c r="E34" s="6">
        <v>6</v>
      </c>
    </row>
    <row r="35" spans="1:5" x14ac:dyDescent="0.25">
      <c r="A35" s="1"/>
      <c r="B35" s="4">
        <v>4787</v>
      </c>
      <c r="C35" s="14"/>
      <c r="D35" s="5" t="s">
        <v>46</v>
      </c>
      <c r="E35" s="6">
        <v>6</v>
      </c>
    </row>
    <row r="36" spans="1:5" x14ac:dyDescent="0.25">
      <c r="A36" s="1"/>
      <c r="B36" s="4">
        <v>4805</v>
      </c>
      <c r="C36" s="14"/>
      <c r="D36" s="5" t="s">
        <v>47</v>
      </c>
      <c r="E36" s="6">
        <v>83</v>
      </c>
    </row>
    <row r="37" spans="1:5" x14ac:dyDescent="0.25">
      <c r="A37" s="1"/>
      <c r="B37" s="4">
        <v>4909</v>
      </c>
      <c r="C37" s="14"/>
      <c r="D37" s="5" t="s">
        <v>48</v>
      </c>
      <c r="E37" s="6">
        <v>83</v>
      </c>
    </row>
    <row r="38" spans="1:5" x14ac:dyDescent="0.25">
      <c r="A38" s="1"/>
      <c r="B38" s="4">
        <v>5116</v>
      </c>
      <c r="C38" s="14"/>
      <c r="D38" s="5" t="s">
        <v>49</v>
      </c>
      <c r="E38" s="6">
        <v>83</v>
      </c>
    </row>
    <row r="39" spans="1:5" x14ac:dyDescent="0.25">
      <c r="A39" s="1"/>
      <c r="B39" s="4">
        <v>5124</v>
      </c>
      <c r="C39" s="14"/>
      <c r="D39" s="5" t="s">
        <v>50</v>
      </c>
      <c r="E39" s="6">
        <v>83</v>
      </c>
    </row>
    <row r="40" spans="1:5" x14ac:dyDescent="0.25">
      <c r="A40" s="1"/>
      <c r="B40" s="4">
        <v>5128</v>
      </c>
      <c r="C40" s="14"/>
      <c r="D40" s="5" t="s">
        <v>51</v>
      </c>
      <c r="E40" s="6">
        <v>6</v>
      </c>
    </row>
    <row r="41" spans="1:5" x14ac:dyDescent="0.25">
      <c r="A41" s="1"/>
      <c r="B41" s="4">
        <v>5246</v>
      </c>
      <c r="C41" s="14"/>
      <c r="D41" s="5" t="s">
        <v>52</v>
      </c>
      <c r="E41" s="6">
        <v>83</v>
      </c>
    </row>
    <row r="42" spans="1:5" x14ac:dyDescent="0.25">
      <c r="A42" s="1"/>
      <c r="B42" s="4">
        <v>5265</v>
      </c>
      <c r="C42" s="14"/>
      <c r="D42" s="5" t="s">
        <v>53</v>
      </c>
      <c r="E42" s="6">
        <v>6</v>
      </c>
    </row>
    <row r="43" spans="1:5" x14ac:dyDescent="0.25">
      <c r="A43" s="1"/>
      <c r="B43" s="4">
        <v>5626</v>
      </c>
      <c r="C43" s="14"/>
      <c r="D43" s="5" t="s">
        <v>54</v>
      </c>
      <c r="E43" s="6">
        <v>83</v>
      </c>
    </row>
    <row r="44" spans="1:5" x14ac:dyDescent="0.25">
      <c r="A44" s="1"/>
      <c r="B44" s="4">
        <v>5630</v>
      </c>
      <c r="C44" s="14"/>
      <c r="D44" s="5" t="s">
        <v>55</v>
      </c>
      <c r="E44" s="6">
        <v>83</v>
      </c>
    </row>
    <row r="45" spans="1:5" x14ac:dyDescent="0.25">
      <c r="A45" s="1"/>
      <c r="B45" s="4">
        <v>5638</v>
      </c>
      <c r="C45" s="14"/>
      <c r="D45" s="5" t="s">
        <v>56</v>
      </c>
      <c r="E45" s="6">
        <v>6</v>
      </c>
    </row>
    <row r="46" spans="1:5" x14ac:dyDescent="0.25">
      <c r="A46" s="1"/>
      <c r="B46" s="4">
        <v>5739</v>
      </c>
      <c r="C46" s="14"/>
      <c r="D46" s="5" t="s">
        <v>57</v>
      </c>
      <c r="E46" s="6">
        <v>6</v>
      </c>
    </row>
    <row r="47" spans="1:5" x14ac:dyDescent="0.25">
      <c r="A47" s="1"/>
      <c r="B47" s="4">
        <v>5742</v>
      </c>
      <c r="C47" s="14"/>
      <c r="D47" s="5" t="s">
        <v>58</v>
      </c>
      <c r="E47" s="6">
        <v>83</v>
      </c>
    </row>
    <row r="48" spans="1:5" x14ac:dyDescent="0.25">
      <c r="A48" s="1"/>
      <c r="B48" s="4">
        <v>5750</v>
      </c>
      <c r="C48" s="14"/>
      <c r="D48" s="5" t="s">
        <v>59</v>
      </c>
      <c r="E48" s="6">
        <v>83</v>
      </c>
    </row>
    <row r="49" spans="1:5" x14ac:dyDescent="0.25">
      <c r="A49" s="1"/>
      <c r="B49" s="4">
        <v>5782</v>
      </c>
      <c r="C49" s="14"/>
      <c r="D49" s="5" t="s">
        <v>60</v>
      </c>
      <c r="E49" s="6">
        <v>83</v>
      </c>
    </row>
    <row r="50" spans="1:5" x14ac:dyDescent="0.25">
      <c r="A50" s="1"/>
      <c r="B50" s="4">
        <v>5902</v>
      </c>
      <c r="C50" s="14"/>
      <c r="D50" s="5" t="s">
        <v>61</v>
      </c>
      <c r="E50" s="6">
        <v>83</v>
      </c>
    </row>
    <row r="51" spans="1:5" x14ac:dyDescent="0.25">
      <c r="A51" s="1"/>
      <c r="B51" s="4">
        <v>6002</v>
      </c>
      <c r="C51" s="14"/>
      <c r="D51" s="5" t="s">
        <v>62</v>
      </c>
      <c r="E51" s="6">
        <v>83</v>
      </c>
    </row>
    <row r="52" spans="1:5" x14ac:dyDescent="0.25">
      <c r="A52" s="1"/>
      <c r="B52" s="4">
        <v>6053</v>
      </c>
      <c r="C52" s="14"/>
      <c r="D52" s="5" t="s">
        <v>63</v>
      </c>
      <c r="E52" s="6">
        <v>83</v>
      </c>
    </row>
    <row r="53" spans="1:5" x14ac:dyDescent="0.25">
      <c r="A53" s="1"/>
      <c r="B53" s="4">
        <v>6340</v>
      </c>
      <c r="C53" s="14"/>
      <c r="D53" s="5" t="s">
        <v>64</v>
      </c>
      <c r="E53" s="6">
        <v>6</v>
      </c>
    </row>
    <row r="54" spans="1:5" x14ac:dyDescent="0.25">
      <c r="A54" s="1"/>
      <c r="B54" s="4">
        <v>6354</v>
      </c>
      <c r="C54" s="14"/>
      <c r="D54" s="5" t="s">
        <v>65</v>
      </c>
      <c r="E54" s="6">
        <v>83</v>
      </c>
    </row>
    <row r="55" spans="1:5" x14ac:dyDescent="0.25">
      <c r="A55" s="1"/>
      <c r="B55" s="4">
        <v>6541</v>
      </c>
      <c r="C55" s="14"/>
      <c r="D55" s="5" t="s">
        <v>66</v>
      </c>
      <c r="E55" s="6">
        <v>6</v>
      </c>
    </row>
    <row r="56" spans="1:5" x14ac:dyDescent="0.25">
      <c r="A56" s="1"/>
      <c r="B56" s="4">
        <v>6577</v>
      </c>
      <c r="C56" s="14"/>
      <c r="D56" s="5" t="s">
        <v>67</v>
      </c>
      <c r="E56" s="6">
        <v>83</v>
      </c>
    </row>
    <row r="57" spans="1:5" x14ac:dyDescent="0.25">
      <c r="A57" s="1"/>
      <c r="B57" s="4">
        <v>6578</v>
      </c>
      <c r="C57" s="14"/>
      <c r="D57" s="5" t="s">
        <v>68</v>
      </c>
      <c r="E57" s="6">
        <v>83</v>
      </c>
    </row>
    <row r="58" spans="1:5" x14ac:dyDescent="0.25">
      <c r="A58" s="1"/>
      <c r="B58" s="4">
        <v>6642</v>
      </c>
      <c r="C58" s="14"/>
      <c r="D58" s="5" t="s">
        <v>69</v>
      </c>
      <c r="E58" s="6">
        <v>83</v>
      </c>
    </row>
    <row r="59" spans="1:5" x14ac:dyDescent="0.25">
      <c r="A59" s="1"/>
      <c r="B59" s="4">
        <v>6648</v>
      </c>
      <c r="C59" s="14"/>
      <c r="D59" s="5" t="s">
        <v>70</v>
      </c>
      <c r="E59" s="6">
        <v>6</v>
      </c>
    </row>
    <row r="60" spans="1:5" x14ac:dyDescent="0.25">
      <c r="A60" s="1"/>
      <c r="B60" s="4">
        <v>6875</v>
      </c>
      <c r="C60" s="14"/>
      <c r="D60" s="5" t="s">
        <v>71</v>
      </c>
      <c r="E60" s="6">
        <v>83</v>
      </c>
    </row>
    <row r="61" spans="1:5" x14ac:dyDescent="0.25">
      <c r="A61" s="1"/>
      <c r="B61" s="4">
        <v>7033</v>
      </c>
      <c r="C61" s="14"/>
      <c r="D61" s="5" t="s">
        <v>72</v>
      </c>
      <c r="E61" s="6">
        <v>83</v>
      </c>
    </row>
    <row r="62" spans="1:5" x14ac:dyDescent="0.25">
      <c r="A62" s="1"/>
      <c r="B62" s="4">
        <v>7071</v>
      </c>
      <c r="C62" s="14" t="s">
        <v>94</v>
      </c>
      <c r="D62" s="5" t="s">
        <v>73</v>
      </c>
      <c r="E62" s="6">
        <v>83</v>
      </c>
    </row>
    <row r="63" spans="1:5" x14ac:dyDescent="0.25">
      <c r="A63" s="1"/>
      <c r="B63" s="4">
        <v>7481</v>
      </c>
      <c r="C63" s="14"/>
      <c r="D63" s="5" t="s">
        <v>74</v>
      </c>
      <c r="E63" s="6">
        <v>83</v>
      </c>
    </row>
    <row r="64" spans="1:5" x14ac:dyDescent="0.25">
      <c r="A64" s="1"/>
      <c r="B64" s="4">
        <v>7649</v>
      </c>
      <c r="C64" s="14"/>
      <c r="D64" s="5" t="s">
        <v>75</v>
      </c>
      <c r="E64" s="6">
        <v>83</v>
      </c>
    </row>
    <row r="65" spans="1:5" x14ac:dyDescent="0.25">
      <c r="A65" s="1"/>
      <c r="B65" s="4">
        <v>7720</v>
      </c>
      <c r="C65" s="14"/>
      <c r="D65" s="5" t="s">
        <v>76</v>
      </c>
      <c r="E65" s="6">
        <v>83</v>
      </c>
    </row>
    <row r="66" spans="1:5" x14ac:dyDescent="0.25">
      <c r="A66" s="1"/>
      <c r="B66" s="4">
        <v>7723</v>
      </c>
      <c r="C66" s="14"/>
      <c r="D66" s="5" t="s">
        <v>77</v>
      </c>
      <c r="E66" s="6">
        <v>83</v>
      </c>
    </row>
    <row r="67" spans="1:5" x14ac:dyDescent="0.25">
      <c r="A67" s="1"/>
      <c r="B67" s="4">
        <v>7749</v>
      </c>
      <c r="C67" s="14"/>
      <c r="D67" s="5" t="s">
        <v>78</v>
      </c>
      <c r="E67" s="6">
        <v>6</v>
      </c>
    </row>
    <row r="68" spans="1:5" x14ac:dyDescent="0.25">
      <c r="A68" s="1"/>
      <c r="B68" s="4">
        <v>7797</v>
      </c>
      <c r="C68" s="14"/>
      <c r="D68" s="5" t="s">
        <v>79</v>
      </c>
      <c r="E68" s="6">
        <v>83</v>
      </c>
    </row>
    <row r="69" spans="1:5" x14ac:dyDescent="0.25">
      <c r="A69" s="1"/>
      <c r="B69" s="4">
        <v>7804</v>
      </c>
      <c r="C69" s="14"/>
      <c r="D69" s="5" t="s">
        <v>80</v>
      </c>
      <c r="E69" s="6">
        <v>6</v>
      </c>
    </row>
    <row r="70" spans="1:5" x14ac:dyDescent="0.25">
      <c r="A70" s="1"/>
      <c r="B70" s="4">
        <v>7814</v>
      </c>
      <c r="C70" s="14"/>
      <c r="D70" s="5" t="s">
        <v>81</v>
      </c>
      <c r="E70" s="6">
        <v>83</v>
      </c>
    </row>
    <row r="71" spans="1:5" x14ac:dyDescent="0.25">
      <c r="A71" s="1"/>
      <c r="B71" s="4">
        <v>7845</v>
      </c>
      <c r="C71" s="14"/>
      <c r="D71" s="5" t="s">
        <v>82</v>
      </c>
      <c r="E71" s="6">
        <v>6</v>
      </c>
    </row>
    <row r="72" spans="1:5" x14ac:dyDescent="0.25">
      <c r="A72" s="1"/>
      <c r="B72" s="4">
        <v>7866</v>
      </c>
      <c r="C72" s="14" t="s">
        <v>99</v>
      </c>
      <c r="D72" s="5" t="s">
        <v>83</v>
      </c>
      <c r="E72" s="6">
        <v>83</v>
      </c>
    </row>
    <row r="73" spans="1:5" x14ac:dyDescent="0.25">
      <c r="A73" s="1"/>
      <c r="B73" s="4">
        <v>7878</v>
      </c>
      <c r="C73" s="14"/>
      <c r="D73" s="5" t="s">
        <v>84</v>
      </c>
      <c r="E73" s="6">
        <v>83</v>
      </c>
    </row>
    <row r="74" spans="1:5" x14ac:dyDescent="0.25">
      <c r="A74" s="1"/>
      <c r="B74" s="4">
        <v>7896</v>
      </c>
      <c r="C74" s="14"/>
      <c r="D74" s="5" t="s">
        <v>85</v>
      </c>
      <c r="E74" s="6">
        <v>6</v>
      </c>
    </row>
    <row r="75" spans="1:5" x14ac:dyDescent="0.25">
      <c r="A75" s="1"/>
      <c r="B75" s="4">
        <v>7981</v>
      </c>
      <c r="C75" s="14" t="s">
        <v>95</v>
      </c>
      <c r="D75" s="5" t="s">
        <v>86</v>
      </c>
      <c r="E75" s="6">
        <v>83</v>
      </c>
    </row>
    <row r="76" spans="1:5" x14ac:dyDescent="0.25">
      <c r="A76" s="1"/>
      <c r="B76" s="4">
        <v>8035</v>
      </c>
      <c r="C76" s="14" t="s">
        <v>136</v>
      </c>
      <c r="D76" s="5" t="s">
        <v>135</v>
      </c>
      <c r="E76" s="6">
        <v>83</v>
      </c>
    </row>
    <row r="77" spans="1:5" x14ac:dyDescent="0.25">
      <c r="A77" s="1"/>
      <c r="B77" s="4">
        <v>8048</v>
      </c>
      <c r="C77" s="14"/>
      <c r="D77" s="5" t="s">
        <v>139</v>
      </c>
      <c r="E77" s="6">
        <v>83</v>
      </c>
    </row>
    <row r="78" spans="1:5" x14ac:dyDescent="0.25">
      <c r="A78" s="1"/>
      <c r="B78" s="4">
        <v>8078</v>
      </c>
      <c r="C78" s="14"/>
      <c r="D78" s="5" t="s">
        <v>140</v>
      </c>
      <c r="E78" s="6">
        <v>83</v>
      </c>
    </row>
    <row r="79" spans="1:5" x14ac:dyDescent="0.25">
      <c r="A79" s="1"/>
      <c r="B79" s="4">
        <v>99006</v>
      </c>
      <c r="C79" s="14"/>
      <c r="D79" s="5" t="s">
        <v>87</v>
      </c>
      <c r="E79" s="6">
        <v>6</v>
      </c>
    </row>
    <row r="80" spans="1:5" x14ac:dyDescent="0.25">
      <c r="A80" s="1"/>
      <c r="B80" s="4">
        <v>99083</v>
      </c>
      <c r="C80" s="14"/>
      <c r="D80" s="5" t="s">
        <v>88</v>
      </c>
      <c r="E80" s="6">
        <v>83</v>
      </c>
    </row>
    <row r="81" spans="1:5" x14ac:dyDescent="0.25">
      <c r="A81" s="1"/>
      <c r="B81" s="4">
        <v>99998</v>
      </c>
      <c r="C81" s="14"/>
      <c r="D81" s="5" t="s">
        <v>89</v>
      </c>
      <c r="E81" s="6">
        <v>83</v>
      </c>
    </row>
    <row r="82" spans="1:5" x14ac:dyDescent="0.25">
      <c r="A82" s="1"/>
      <c r="B82" s="4">
        <v>99999</v>
      </c>
      <c r="C82" s="14" t="s">
        <v>100</v>
      </c>
      <c r="D82" s="5" t="s">
        <v>111</v>
      </c>
      <c r="E82" s="6">
        <v>83</v>
      </c>
    </row>
    <row r="83" spans="1:5" x14ac:dyDescent="0.25">
      <c r="A83" s="1"/>
      <c r="B83" s="4"/>
      <c r="C83" s="14"/>
      <c r="D83" s="5"/>
      <c r="E83" s="6"/>
    </row>
    <row r="84" spans="1:5" x14ac:dyDescent="0.25">
      <c r="A84" s="1"/>
      <c r="B84" s="4"/>
      <c r="C84" s="14"/>
      <c r="D84" s="5"/>
      <c r="E84" s="6"/>
    </row>
    <row r="85" spans="1:5" x14ac:dyDescent="0.25">
      <c r="A85" s="1"/>
      <c r="B85" s="4"/>
      <c r="C85" s="14"/>
      <c r="D85" s="5"/>
      <c r="E85" s="6"/>
    </row>
    <row r="86" spans="1:5" x14ac:dyDescent="0.25">
      <c r="A86" s="1"/>
      <c r="B86" s="4"/>
      <c r="C86" s="14"/>
      <c r="D86" s="5"/>
      <c r="E86" s="6"/>
    </row>
    <row r="87" spans="1:5" x14ac:dyDescent="0.25">
      <c r="A87" s="1"/>
      <c r="B87" s="4"/>
      <c r="C87" s="14"/>
      <c r="D87" s="5"/>
      <c r="E87" s="6"/>
    </row>
    <row r="88" spans="1:5" x14ac:dyDescent="0.25">
      <c r="A88" s="1"/>
      <c r="B88" s="4"/>
      <c r="C88" s="14"/>
      <c r="D88" s="5"/>
      <c r="E88" s="6"/>
    </row>
    <row r="89" spans="1:5" x14ac:dyDescent="0.25">
      <c r="A89" s="1"/>
      <c r="B89" s="4"/>
      <c r="C89" s="14"/>
      <c r="D89" s="5"/>
      <c r="E89" s="6"/>
    </row>
    <row r="90" spans="1:5" x14ac:dyDescent="0.25">
      <c r="A90" s="1"/>
      <c r="B90" s="4"/>
      <c r="C90" s="14"/>
      <c r="D90" s="5"/>
      <c r="E90" s="6"/>
    </row>
    <row r="91" spans="1:5" x14ac:dyDescent="0.25">
      <c r="A91" s="1"/>
      <c r="B91" s="4"/>
      <c r="C91" s="14"/>
      <c r="D91" s="5"/>
      <c r="E91" s="6"/>
    </row>
    <row r="92" spans="1:5" x14ac:dyDescent="0.25">
      <c r="A92" s="1"/>
      <c r="B92" s="4"/>
      <c r="C92" s="14"/>
      <c r="D92" s="5"/>
      <c r="E92" s="6"/>
    </row>
    <row r="93" spans="1:5" x14ac:dyDescent="0.25">
      <c r="A93" s="1"/>
      <c r="B93" s="4"/>
      <c r="C93" s="14"/>
      <c r="D93" s="5"/>
      <c r="E93" s="6"/>
    </row>
    <row r="94" spans="1:5" x14ac:dyDescent="0.25">
      <c r="A94" s="1"/>
      <c r="B94" s="4"/>
      <c r="C94" s="14"/>
      <c r="D94" s="5"/>
      <c r="E94" s="6"/>
    </row>
    <row r="95" spans="1:5" x14ac:dyDescent="0.25">
      <c r="A95" s="1"/>
      <c r="B95" s="4"/>
      <c r="C95" s="14"/>
      <c r="D95" s="5"/>
      <c r="E95" s="6"/>
    </row>
    <row r="96" spans="1:5" x14ac:dyDescent="0.25">
      <c r="A96" s="1"/>
      <c r="B96" s="4"/>
      <c r="C96" s="14"/>
      <c r="D96" s="5"/>
      <c r="E96" s="6"/>
    </row>
    <row r="97" spans="1:5" x14ac:dyDescent="0.25">
      <c r="A97" s="1"/>
      <c r="B97" s="4"/>
      <c r="C97" s="14"/>
      <c r="D97" s="5"/>
      <c r="E97" s="6"/>
    </row>
    <row r="98" spans="1:5" x14ac:dyDescent="0.25">
      <c r="A98" s="1"/>
      <c r="B98" s="4"/>
      <c r="C98" s="14"/>
      <c r="D98" s="5"/>
      <c r="E98" s="6"/>
    </row>
    <row r="99" spans="1:5" x14ac:dyDescent="0.25">
      <c r="A99" s="1"/>
      <c r="B99" s="4"/>
      <c r="C99" s="14"/>
      <c r="D99" s="5"/>
      <c r="E99" s="6"/>
    </row>
    <row r="100" spans="1:5" x14ac:dyDescent="0.25">
      <c r="A100" s="1"/>
      <c r="B100" s="4"/>
      <c r="C100" s="14"/>
      <c r="D100" s="5"/>
      <c r="E100" s="6"/>
    </row>
    <row r="101" spans="1:5" x14ac:dyDescent="0.25">
      <c r="A101" s="1"/>
      <c r="B101" s="4"/>
      <c r="C101" s="14"/>
      <c r="D101" s="5"/>
      <c r="E101" s="6"/>
    </row>
    <row r="102" spans="1:5" x14ac:dyDescent="0.25">
      <c r="A102" s="1"/>
      <c r="B102" s="4"/>
      <c r="C102" s="14"/>
      <c r="D102" s="5"/>
      <c r="E102" s="6"/>
    </row>
    <row r="103" spans="1:5" x14ac:dyDescent="0.25">
      <c r="A103" s="1"/>
      <c r="B103" s="4"/>
      <c r="C103" s="14"/>
      <c r="D103" s="5"/>
      <c r="E103" s="6"/>
    </row>
    <row r="104" spans="1:5" x14ac:dyDescent="0.25">
      <c r="A104" s="1"/>
      <c r="B104" s="4"/>
      <c r="C104" s="14"/>
      <c r="D104" s="5"/>
      <c r="E104" s="6"/>
    </row>
    <row r="105" spans="1:5" x14ac:dyDescent="0.25">
      <c r="A105" s="1"/>
      <c r="B105" s="4"/>
      <c r="C105" s="14"/>
      <c r="D105" s="5"/>
      <c r="E105" s="6"/>
    </row>
    <row r="106" spans="1:5" x14ac:dyDescent="0.25">
      <c r="A106" s="1"/>
      <c r="B106" s="4"/>
      <c r="C106" s="14"/>
      <c r="D106" s="5"/>
      <c r="E106" s="6"/>
    </row>
    <row r="107" spans="1:5" x14ac:dyDescent="0.25">
      <c r="A107" s="1"/>
      <c r="B107" s="4"/>
      <c r="C107" s="14"/>
      <c r="D107" s="5"/>
      <c r="E107" s="6"/>
    </row>
    <row r="108" spans="1:5" x14ac:dyDescent="0.25">
      <c r="A108" s="1"/>
      <c r="B108" s="4"/>
      <c r="C108" s="14"/>
      <c r="D108" s="5"/>
      <c r="E108" s="6"/>
    </row>
    <row r="109" spans="1:5" x14ac:dyDescent="0.25">
      <c r="A109" s="1"/>
      <c r="B109" s="4"/>
      <c r="C109" s="14"/>
      <c r="D109" s="5"/>
      <c r="E109" s="6"/>
    </row>
    <row r="110" spans="1:5" x14ac:dyDescent="0.25">
      <c r="A110" s="1"/>
      <c r="B110" s="4"/>
      <c r="C110" s="14"/>
      <c r="D110" s="5"/>
      <c r="E110" s="6"/>
    </row>
    <row r="111" spans="1:5" x14ac:dyDescent="0.25">
      <c r="A111" s="1"/>
      <c r="B111" s="4"/>
      <c r="C111" s="14"/>
      <c r="D111" s="5"/>
      <c r="E111" s="6"/>
    </row>
    <row r="112" spans="1:5" x14ac:dyDescent="0.25">
      <c r="A112" s="1"/>
      <c r="B112" s="4"/>
      <c r="C112" s="14"/>
      <c r="D112" s="5"/>
      <c r="E112" s="6"/>
    </row>
    <row r="113" spans="1:5" x14ac:dyDescent="0.25">
      <c r="A113" s="1"/>
      <c r="B113" s="4"/>
      <c r="C113" s="14"/>
      <c r="D113" s="5"/>
      <c r="E113" s="6"/>
    </row>
    <row r="114" spans="1:5" x14ac:dyDescent="0.25">
      <c r="A114" s="1"/>
      <c r="B114" s="4"/>
      <c r="C114" s="14"/>
      <c r="D114" s="5"/>
      <c r="E114" s="6"/>
    </row>
    <row r="115" spans="1:5" x14ac:dyDescent="0.25">
      <c r="A115" s="1"/>
      <c r="B115" s="4"/>
      <c r="C115" s="14"/>
      <c r="D115" s="5"/>
      <c r="E115" s="6"/>
    </row>
    <row r="116" spans="1:5" x14ac:dyDescent="0.25">
      <c r="A116" s="1"/>
      <c r="B116" s="4"/>
      <c r="C116" s="14"/>
      <c r="D116" s="5"/>
      <c r="E116" s="6"/>
    </row>
    <row r="117" spans="1:5" x14ac:dyDescent="0.25">
      <c r="A117" s="1"/>
      <c r="B117" s="4"/>
      <c r="C117" s="14"/>
      <c r="D117" s="5"/>
      <c r="E117" s="6"/>
    </row>
    <row r="118" spans="1:5" x14ac:dyDescent="0.25">
      <c r="A118" s="1"/>
      <c r="B118" s="4"/>
      <c r="C118" s="14"/>
      <c r="D118" s="5"/>
      <c r="E118" s="6"/>
    </row>
    <row r="119" spans="1:5" x14ac:dyDescent="0.25">
      <c r="A119" s="1"/>
      <c r="B119" s="4"/>
      <c r="C119" s="14"/>
      <c r="D119" s="5"/>
      <c r="E119" s="6"/>
    </row>
    <row r="120" spans="1:5" x14ac:dyDescent="0.25">
      <c r="A120" s="1"/>
      <c r="B120" s="4"/>
      <c r="C120" s="14"/>
      <c r="D120" s="5"/>
      <c r="E120" s="6"/>
    </row>
    <row r="121" spans="1:5" x14ac:dyDescent="0.25">
      <c r="A121" s="1"/>
      <c r="B121" s="4"/>
      <c r="C121" s="14"/>
      <c r="D121" s="5"/>
      <c r="E121" s="6"/>
    </row>
    <row r="122" spans="1:5" x14ac:dyDescent="0.25">
      <c r="A122" s="1"/>
      <c r="B122" s="4"/>
      <c r="C122" s="14"/>
      <c r="D122" s="5"/>
      <c r="E122" s="6"/>
    </row>
    <row r="123" spans="1:5" x14ac:dyDescent="0.25">
      <c r="A123" s="1"/>
      <c r="B123" s="4"/>
      <c r="C123" s="14"/>
      <c r="D123" s="5"/>
      <c r="E123" s="6"/>
    </row>
    <row r="124" spans="1:5" x14ac:dyDescent="0.25">
      <c r="A124" s="1"/>
      <c r="B124" s="4"/>
      <c r="C124" s="14"/>
      <c r="D124" s="5"/>
      <c r="E124" s="6"/>
    </row>
    <row r="125" spans="1:5" x14ac:dyDescent="0.25">
      <c r="A125" s="1"/>
      <c r="B125" s="4"/>
      <c r="C125" s="14"/>
      <c r="D125" s="5"/>
      <c r="E125" s="6"/>
    </row>
    <row r="126" spans="1:5" x14ac:dyDescent="0.25">
      <c r="A126" s="1"/>
      <c r="B126" s="4"/>
      <c r="C126" s="14"/>
      <c r="D126" s="5"/>
      <c r="E126" s="6"/>
    </row>
    <row r="127" spans="1:5" x14ac:dyDescent="0.25">
      <c r="A127" s="1"/>
      <c r="B127" s="4"/>
      <c r="C127" s="14"/>
      <c r="D127" s="5"/>
      <c r="E127" s="6"/>
    </row>
    <row r="128" spans="1:5" x14ac:dyDescent="0.25">
      <c r="A128" s="1"/>
      <c r="B128" s="4"/>
      <c r="C128" s="14"/>
      <c r="D128" s="5"/>
      <c r="E128" s="6"/>
    </row>
    <row r="129" spans="1:5" x14ac:dyDescent="0.25">
      <c r="A129" s="1"/>
      <c r="B129" s="4"/>
      <c r="C129" s="14"/>
      <c r="D129" s="5"/>
      <c r="E129" s="6"/>
    </row>
    <row r="130" spans="1:5" x14ac:dyDescent="0.25">
      <c r="A130" s="1"/>
      <c r="B130" s="4"/>
      <c r="C130" s="14"/>
      <c r="D130" s="5"/>
      <c r="E130" s="6"/>
    </row>
    <row r="131" spans="1:5" x14ac:dyDescent="0.25">
      <c r="A131" s="1"/>
      <c r="B131" s="4"/>
      <c r="C131" s="14"/>
      <c r="D131" s="5"/>
      <c r="E131" s="6"/>
    </row>
    <row r="132" spans="1:5" x14ac:dyDescent="0.25">
      <c r="A132" s="1"/>
      <c r="B132" s="4"/>
      <c r="C132" s="14"/>
      <c r="D132" s="5"/>
      <c r="E132" s="6"/>
    </row>
    <row r="133" spans="1:5" x14ac:dyDescent="0.25">
      <c r="A133" s="1"/>
      <c r="B133" s="4"/>
      <c r="C133" s="14"/>
      <c r="D133" s="5"/>
      <c r="E133" s="6"/>
    </row>
    <row r="134" spans="1:5" x14ac:dyDescent="0.25">
      <c r="A134" s="1"/>
      <c r="B134" s="4"/>
      <c r="C134" s="14"/>
      <c r="D134" s="5"/>
      <c r="E134" s="6"/>
    </row>
    <row r="135" spans="1:5" x14ac:dyDescent="0.25">
      <c r="A135" s="1"/>
      <c r="B135" s="4"/>
      <c r="C135" s="14"/>
      <c r="D135" s="5"/>
      <c r="E135" s="6"/>
    </row>
    <row r="136" spans="1:5" x14ac:dyDescent="0.25">
      <c r="A136" s="1"/>
      <c r="B136" s="4"/>
      <c r="C136" s="14"/>
      <c r="D136" s="5"/>
      <c r="E136" s="6"/>
    </row>
    <row r="137" spans="1:5" x14ac:dyDescent="0.25">
      <c r="A137" s="1"/>
      <c r="B137" s="4"/>
      <c r="C137" s="14"/>
      <c r="D137" s="5"/>
      <c r="E137" s="6"/>
    </row>
    <row r="138" spans="1:5" x14ac:dyDescent="0.25">
      <c r="A138" s="1"/>
      <c r="B138" s="4"/>
      <c r="C138" s="14"/>
      <c r="D138" s="5"/>
      <c r="E138" s="6"/>
    </row>
    <row r="139" spans="1:5" x14ac:dyDescent="0.25">
      <c r="A139" s="1"/>
      <c r="B139" s="4"/>
      <c r="C139" s="14"/>
      <c r="D139" s="5"/>
      <c r="E139" s="6"/>
    </row>
    <row r="140" spans="1:5" x14ac:dyDescent="0.25">
      <c r="A140" s="1"/>
      <c r="B140" s="4"/>
      <c r="C140" s="14"/>
      <c r="D140" s="5"/>
      <c r="E140" s="6"/>
    </row>
    <row r="141" spans="1:5" x14ac:dyDescent="0.25">
      <c r="A141" s="1"/>
      <c r="B141" s="4"/>
      <c r="C141" s="14"/>
      <c r="D141" s="5"/>
      <c r="E141" s="6"/>
    </row>
    <row r="142" spans="1:5" x14ac:dyDescent="0.25">
      <c r="A142" s="1"/>
      <c r="B142" s="4"/>
      <c r="C142" s="14"/>
      <c r="D142" s="5"/>
      <c r="E142" s="6"/>
    </row>
    <row r="143" spans="1:5" x14ac:dyDescent="0.25">
      <c r="A143" s="1"/>
      <c r="B143" s="4"/>
      <c r="C143" s="14"/>
      <c r="D143" s="5"/>
      <c r="E143" s="6"/>
    </row>
    <row r="144" spans="1:5" x14ac:dyDescent="0.25">
      <c r="A144" s="1"/>
      <c r="B144" s="4"/>
      <c r="C144" s="14"/>
      <c r="D144" s="5"/>
      <c r="E144" s="6"/>
    </row>
    <row r="145" spans="1:5" x14ac:dyDescent="0.25">
      <c r="A145" s="1"/>
      <c r="B145" s="4"/>
      <c r="C145" s="14"/>
      <c r="D145" s="5"/>
      <c r="E145" s="6"/>
    </row>
    <row r="146" spans="1:5" x14ac:dyDescent="0.25">
      <c r="A146" s="1"/>
      <c r="B146" s="4"/>
      <c r="C146" s="14"/>
      <c r="D146" s="5"/>
      <c r="E146" s="6"/>
    </row>
    <row r="147" spans="1:5" x14ac:dyDescent="0.25">
      <c r="A147" s="1"/>
      <c r="B147" s="4"/>
      <c r="C147" s="14"/>
      <c r="D147" s="5"/>
      <c r="E147" s="6"/>
    </row>
    <row r="148" spans="1:5" x14ac:dyDescent="0.25">
      <c r="A148" s="1"/>
      <c r="B148" s="4"/>
      <c r="C148" s="14"/>
      <c r="D148" s="5"/>
      <c r="E148" s="6"/>
    </row>
    <row r="149" spans="1:5" x14ac:dyDescent="0.25">
      <c r="A149" s="1"/>
      <c r="B149" s="4"/>
      <c r="C149" s="14"/>
      <c r="D149" s="5"/>
      <c r="E149" s="6"/>
    </row>
    <row r="150" spans="1:5" x14ac:dyDescent="0.25">
      <c r="A150" s="1"/>
      <c r="B150" s="4"/>
      <c r="C150" s="14"/>
      <c r="D150" s="5"/>
      <c r="E150" s="6"/>
    </row>
    <row r="151" spans="1:5" x14ac:dyDescent="0.25">
      <c r="A151" s="1"/>
      <c r="B151" s="4"/>
      <c r="C151" s="14"/>
      <c r="D151" s="5"/>
      <c r="E151" s="6"/>
    </row>
    <row r="152" spans="1:5" x14ac:dyDescent="0.25">
      <c r="A152" s="1"/>
      <c r="B152" s="4"/>
      <c r="C152" s="14"/>
      <c r="D152" s="5"/>
      <c r="E152" s="6"/>
    </row>
    <row r="153" spans="1:5" x14ac:dyDescent="0.25">
      <c r="A153" s="1"/>
      <c r="B153" s="4"/>
      <c r="C153" s="14"/>
      <c r="D153" s="5"/>
      <c r="E153" s="6"/>
    </row>
    <row r="154" spans="1:5" x14ac:dyDescent="0.25">
      <c r="A154" s="1"/>
      <c r="B154" s="4"/>
      <c r="C154" s="14"/>
      <c r="D154" s="5"/>
      <c r="E154" s="6"/>
    </row>
    <row r="155" spans="1:5" x14ac:dyDescent="0.25">
      <c r="A155" s="1"/>
      <c r="B155" s="4"/>
      <c r="C155" s="14"/>
      <c r="D155" s="5"/>
      <c r="E155" s="6"/>
    </row>
    <row r="156" spans="1:5" x14ac:dyDescent="0.25">
      <c r="A156" s="1"/>
      <c r="B156" s="4"/>
      <c r="C156" s="14"/>
      <c r="D156" s="5"/>
      <c r="E156" s="6"/>
    </row>
    <row r="157" spans="1:5" x14ac:dyDescent="0.25">
      <c r="A157" s="1"/>
      <c r="B157" s="4"/>
      <c r="C157" s="14"/>
      <c r="D157" s="5"/>
      <c r="E157" s="6"/>
    </row>
    <row r="158" spans="1:5" x14ac:dyDescent="0.25">
      <c r="A158" s="1"/>
      <c r="B158" s="4"/>
      <c r="C158" s="14"/>
      <c r="D158" s="5"/>
      <c r="E158" s="6"/>
    </row>
    <row r="159" spans="1:5" x14ac:dyDescent="0.25">
      <c r="A159" s="1"/>
      <c r="B159" s="4"/>
      <c r="C159" s="14"/>
      <c r="D159" s="5"/>
      <c r="E159" s="6"/>
    </row>
    <row r="160" spans="1:5" x14ac:dyDescent="0.25">
      <c r="A160" s="1"/>
      <c r="B160" s="4"/>
      <c r="C160" s="14"/>
      <c r="D160" s="5"/>
      <c r="E160" s="6"/>
    </row>
    <row r="161" spans="1:5" x14ac:dyDescent="0.25">
      <c r="A161" s="1"/>
      <c r="B161" s="4"/>
      <c r="C161" s="14"/>
      <c r="D161" s="5"/>
      <c r="E161" s="6"/>
    </row>
    <row r="162" spans="1:5" x14ac:dyDescent="0.25">
      <c r="A162" s="1"/>
      <c r="B162" s="4"/>
      <c r="C162" s="14"/>
      <c r="D162" s="5"/>
      <c r="E162" s="6"/>
    </row>
    <row r="163" spans="1:5" x14ac:dyDescent="0.25">
      <c r="A163" s="1"/>
      <c r="B163" s="4"/>
      <c r="C163" s="14"/>
      <c r="D163" s="5"/>
      <c r="E163" s="6"/>
    </row>
    <row r="164" spans="1:5" x14ac:dyDescent="0.25">
      <c r="A164" s="1"/>
      <c r="B164" s="4"/>
      <c r="C164" s="14"/>
      <c r="D164" s="5"/>
      <c r="E164" s="6"/>
    </row>
    <row r="165" spans="1:5" x14ac:dyDescent="0.25">
      <c r="A165" s="1"/>
      <c r="B165" s="4"/>
      <c r="C165" s="14"/>
      <c r="D165" s="5"/>
      <c r="E165" s="6"/>
    </row>
    <row r="166" spans="1:5" x14ac:dyDescent="0.25">
      <c r="A166" s="1"/>
      <c r="B166" s="4"/>
      <c r="C166" s="14"/>
      <c r="D166" s="5"/>
      <c r="E166" s="6"/>
    </row>
    <row r="167" spans="1:5" x14ac:dyDescent="0.25">
      <c r="A167" s="1"/>
      <c r="B167" s="4"/>
      <c r="C167" s="14"/>
      <c r="D167" s="5"/>
      <c r="E167" s="6"/>
    </row>
    <row r="168" spans="1:5" x14ac:dyDescent="0.25">
      <c r="A168" s="1"/>
      <c r="B168" s="4"/>
      <c r="C168" s="14"/>
      <c r="D168" s="5"/>
      <c r="E168" s="6"/>
    </row>
    <row r="169" spans="1:5" x14ac:dyDescent="0.25">
      <c r="A169" s="1"/>
      <c r="B169" s="4"/>
      <c r="C169" s="14"/>
      <c r="D169" s="5"/>
      <c r="E169" s="6"/>
    </row>
    <row r="170" spans="1:5" x14ac:dyDescent="0.25">
      <c r="A170" s="1"/>
      <c r="B170" s="4"/>
      <c r="C170" s="14"/>
      <c r="D170" s="5"/>
      <c r="E170" s="6"/>
    </row>
    <row r="171" spans="1:5" x14ac:dyDescent="0.25">
      <c r="A171" s="1"/>
      <c r="B171" s="4"/>
      <c r="C171" s="14"/>
      <c r="D171" s="5"/>
      <c r="E171" s="6"/>
    </row>
    <row r="172" spans="1:5" x14ac:dyDescent="0.25">
      <c r="A172" s="1"/>
      <c r="B172" s="4"/>
      <c r="C172" s="14"/>
      <c r="D172" s="5"/>
      <c r="E172" s="6"/>
    </row>
    <row r="173" spans="1:5" x14ac:dyDescent="0.25">
      <c r="A173" s="1"/>
      <c r="B173" s="4"/>
      <c r="C173" s="14"/>
      <c r="D173" s="5"/>
      <c r="E173" s="6"/>
    </row>
    <row r="174" spans="1:5" x14ac:dyDescent="0.25">
      <c r="A174" s="1"/>
      <c r="B174" s="4"/>
      <c r="C174" s="14"/>
      <c r="D174" s="5"/>
      <c r="E174" s="6"/>
    </row>
    <row r="175" spans="1:5" x14ac:dyDescent="0.25">
      <c r="A175" s="1"/>
      <c r="B175" s="4"/>
      <c r="C175" s="14"/>
      <c r="D175" s="5"/>
      <c r="E175" s="6"/>
    </row>
    <row r="176" spans="1:5" x14ac:dyDescent="0.25">
      <c r="A176" s="1"/>
      <c r="B176" s="4"/>
      <c r="C176" s="14"/>
      <c r="D176" s="5"/>
      <c r="E176" s="6"/>
    </row>
    <row r="177" spans="1:5" x14ac:dyDescent="0.25">
      <c r="A177" s="1"/>
      <c r="B177" s="4"/>
      <c r="C177" s="14"/>
      <c r="D177" s="5"/>
      <c r="E177" s="6"/>
    </row>
    <row r="178" spans="1:5" x14ac:dyDescent="0.25">
      <c r="A178" s="1"/>
      <c r="B178" s="4"/>
      <c r="C178" s="14"/>
      <c r="D178" s="5"/>
      <c r="E178" s="6"/>
    </row>
    <row r="179" spans="1:5" x14ac:dyDescent="0.25">
      <c r="A179" s="1"/>
      <c r="B179" s="4"/>
      <c r="C179" s="14"/>
      <c r="D179" s="5"/>
      <c r="E179" s="6"/>
    </row>
    <row r="180" spans="1:5" x14ac:dyDescent="0.25">
      <c r="A180" s="1"/>
      <c r="B180" s="4"/>
      <c r="C180" s="14"/>
      <c r="D180" s="5"/>
      <c r="E180" s="6"/>
    </row>
    <row r="181" spans="1:5" x14ac:dyDescent="0.25">
      <c r="A181" s="1"/>
      <c r="B181" s="4"/>
      <c r="C181" s="14"/>
      <c r="D181" s="5"/>
      <c r="E181" s="6"/>
    </row>
    <row r="182" spans="1:5" x14ac:dyDescent="0.25">
      <c r="A182" s="1"/>
      <c r="B182" s="4"/>
      <c r="C182" s="14"/>
      <c r="D182" s="5"/>
      <c r="E182" s="6"/>
    </row>
    <row r="183" spans="1:5" x14ac:dyDescent="0.25">
      <c r="A183" s="1"/>
      <c r="B183" s="4"/>
      <c r="C183" s="14"/>
      <c r="D183" s="5"/>
      <c r="E183" s="6"/>
    </row>
    <row r="184" spans="1:5" x14ac:dyDescent="0.25">
      <c r="A184" s="1"/>
      <c r="B184" s="4"/>
      <c r="C184" s="14"/>
      <c r="D184" s="5"/>
      <c r="E184" s="6"/>
    </row>
    <row r="185" spans="1:5" x14ac:dyDescent="0.25">
      <c r="A185" s="1"/>
      <c r="B185" s="4"/>
      <c r="C185" s="14"/>
      <c r="D185" s="5"/>
      <c r="E185" s="6"/>
    </row>
    <row r="186" spans="1:5" x14ac:dyDescent="0.25">
      <c r="A186" s="1"/>
      <c r="B186" s="4"/>
      <c r="C186" s="14"/>
      <c r="D186" s="5"/>
      <c r="E186" s="6"/>
    </row>
    <row r="187" spans="1:5" x14ac:dyDescent="0.25">
      <c r="A187" s="1"/>
      <c r="B187" s="4"/>
      <c r="C187" s="14"/>
      <c r="D187" s="5"/>
      <c r="E187" s="6"/>
    </row>
    <row r="188" spans="1:5" x14ac:dyDescent="0.25">
      <c r="A188" s="1"/>
      <c r="B188" s="4"/>
      <c r="C188" s="14"/>
      <c r="D188" s="5"/>
      <c r="E188" s="6"/>
    </row>
    <row r="189" spans="1:5" x14ac:dyDescent="0.25">
      <c r="A189" s="1"/>
      <c r="B189" s="4"/>
      <c r="C189" s="14"/>
      <c r="D189" s="5"/>
      <c r="E189" s="6"/>
    </row>
    <row r="190" spans="1:5" x14ac:dyDescent="0.25">
      <c r="A190" s="1"/>
      <c r="B190" s="4"/>
      <c r="C190" s="14"/>
      <c r="D190" s="5"/>
      <c r="E190" s="6"/>
    </row>
    <row r="191" spans="1:5" x14ac:dyDescent="0.25">
      <c r="A191" s="1"/>
      <c r="B191" s="4"/>
      <c r="C191" s="14"/>
      <c r="D191" s="5"/>
      <c r="E191" s="6"/>
    </row>
    <row r="192" spans="1:5" x14ac:dyDescent="0.25">
      <c r="A192" s="1"/>
      <c r="B192" s="4"/>
      <c r="C192" s="14"/>
      <c r="D192" s="5"/>
      <c r="E192" s="6"/>
    </row>
    <row r="193" spans="1:5" x14ac:dyDescent="0.25">
      <c r="A193" s="1"/>
      <c r="B193" s="4"/>
      <c r="C193" s="14"/>
      <c r="D193" s="5"/>
      <c r="E193" s="6"/>
    </row>
    <row r="194" spans="1:5" x14ac:dyDescent="0.25">
      <c r="A194" s="1"/>
      <c r="B194" s="4"/>
      <c r="C194" s="14"/>
      <c r="D194" s="5"/>
      <c r="E194" s="6"/>
    </row>
    <row r="195" spans="1:5" x14ac:dyDescent="0.25">
      <c r="A195" s="1"/>
      <c r="B195" s="4"/>
      <c r="C195" s="14"/>
      <c r="D195" s="5"/>
      <c r="E195" s="6"/>
    </row>
    <row r="196" spans="1:5" x14ac:dyDescent="0.25">
      <c r="A196" s="1"/>
      <c r="B196" s="4"/>
      <c r="C196" s="14"/>
      <c r="D196" s="5"/>
      <c r="E196" s="6"/>
    </row>
    <row r="197" spans="1:5" x14ac:dyDescent="0.25">
      <c r="A197" s="1"/>
      <c r="B197" s="4"/>
      <c r="C197" s="14"/>
      <c r="D197" s="5"/>
      <c r="E197" s="6"/>
    </row>
    <row r="198" spans="1:5" x14ac:dyDescent="0.25">
      <c r="A198" s="1"/>
      <c r="B198" s="4"/>
      <c r="C198" s="14"/>
      <c r="D198" s="5"/>
      <c r="E198" s="6"/>
    </row>
    <row r="199" spans="1:5" x14ac:dyDescent="0.25">
      <c r="A199" s="1"/>
      <c r="B199" s="4"/>
      <c r="C199" s="14"/>
      <c r="D199" s="5"/>
      <c r="E199" s="6"/>
    </row>
    <row r="200" spans="1:5" x14ac:dyDescent="0.25">
      <c r="A200" s="1"/>
      <c r="B200" s="4"/>
      <c r="C200" s="14"/>
      <c r="D200" s="5"/>
      <c r="E200" s="6"/>
    </row>
    <row r="201" spans="1:5" x14ac:dyDescent="0.25">
      <c r="A201" s="1"/>
      <c r="B201" s="4"/>
      <c r="C201" s="14"/>
      <c r="D201" s="5"/>
      <c r="E201" s="6"/>
    </row>
  </sheetData>
  <sortState ref="B2:E201">
    <sortCondition ref="B2:B2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Consignes</vt:lpstr>
      <vt:lpstr>Inscriptions</vt:lpstr>
      <vt:lpstr>Clubs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</dc:creator>
  <cp:lastModifiedBy>Aurélie</cp:lastModifiedBy>
  <cp:lastPrinted>2016-03-21T17:00:57Z</cp:lastPrinted>
  <dcterms:created xsi:type="dcterms:W3CDTF">2014-01-08T20:47:16Z</dcterms:created>
  <dcterms:modified xsi:type="dcterms:W3CDTF">2018-03-08T17:28:21Z</dcterms:modified>
</cp:coreProperties>
</file>